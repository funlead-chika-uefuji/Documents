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networktech-my.sharepoint.com/personal/ayumi_harada_funlead_co_jp/Documents/デスクトップ/FL会社案内・社内規定・契約書類など/勤務表・交通費・領収書など/交通費・領収書/"/>
    </mc:Choice>
  </mc:AlternateContent>
  <xr:revisionPtr revIDLastSave="0" documentId="8_{2FB810B8-A39A-4F80-A52E-02AA15B9BB4B}" xr6:coauthVersionLast="47" xr6:coauthVersionMax="47" xr10:uidLastSave="{00000000-0000-0000-0000-000000000000}"/>
  <bookViews>
    <workbookView xWindow="-110" yWindow="-110" windowWidth="19420" windowHeight="10300" firstSheet="1" activeTab="1" xr2:uid="{63353303-3F6F-47C6-BCEC-E7C95820299C}"/>
  </bookViews>
  <sheets>
    <sheet name="【例】立替金精算書" sheetId="1" r:id="rId1"/>
    <sheet name="立替金精算書" sheetId="3" r:id="rId2"/>
  </sheets>
  <definedNames>
    <definedName name="_xlnm.Print_Area" localSheetId="0">【例】立替金精算書!$A$1:$G$49</definedName>
    <definedName name="_xlnm.Print_Area" localSheetId="1">立替金精算書!$A$1:$G$49</definedName>
    <definedName name="合計" localSheetId="0">【例】立替金精算書!#REF!</definedName>
    <definedName name="合計" localSheetId="1">立替金精算書!#REF!</definedName>
    <definedName name="合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3"/>
  <c r="D7" i="3" s="1"/>
  <c r="C7" i="1"/>
  <c r="E49" i="3"/>
  <c r="E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松岡 麻美</author>
  </authors>
  <commentList>
    <comment ref="C10" authorId="0" shapeId="0" xr:uid="{C56263C6-9653-45CC-89D7-1BFAABBFC0AC}">
      <text>
        <r>
          <rPr>
            <sz val="9"/>
            <color indexed="81"/>
            <rFont val="MS P ゴシック"/>
            <family val="3"/>
            <charset val="128"/>
          </rPr>
          <t>適格請求書発行事業者の場合は、Tから始まる13桁の番号を入力してください</t>
        </r>
      </text>
    </comment>
    <comment ref="D10" authorId="0" shapeId="0" xr:uid="{0F96DACC-506C-45C4-9D15-D60963CCD07F}">
      <text>
        <r>
          <rPr>
            <sz val="9"/>
            <color indexed="81"/>
            <rFont val="MS P ゴシック"/>
            <family val="3"/>
            <charset val="128"/>
          </rPr>
          <t xml:space="preserve">交通費の場合は区間も入力してください
</t>
        </r>
      </text>
    </comment>
    <comment ref="D11" authorId="0" shapeId="0" xr:uid="{B1731F68-20A2-4ED1-AFB7-B41FEAD9F9DB}">
      <text>
        <r>
          <rPr>
            <b/>
            <sz val="9"/>
            <color indexed="81"/>
            <rFont val="MS P ゴシック"/>
            <family val="3"/>
            <charset val="128"/>
          </rPr>
          <t>松岡 麻美:</t>
        </r>
        <r>
          <rPr>
            <sz val="9"/>
            <color indexed="81"/>
            <rFont val="MS P ゴシック"/>
            <family val="3"/>
            <charset val="128"/>
          </rPr>
          <t xml:space="preserve">
E列に下記を入力してください
・軽減税率の場合「※」
・非課税の場合は「非」
それ以外は空欄</t>
        </r>
      </text>
    </comment>
    <comment ref="F11" authorId="0" shapeId="0" xr:uid="{7B313273-92F3-4CB9-BA54-448AE6F49562}">
      <text>
        <r>
          <rPr>
            <sz val="9"/>
            <color indexed="81"/>
            <rFont val="MS P ゴシック"/>
            <family val="3"/>
            <charset val="128"/>
          </rPr>
          <t xml:space="preserve">G列に領収書の有無を入力してください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松岡 麻美</author>
  </authors>
  <commentList>
    <comment ref="C10" authorId="0" shapeId="0" xr:uid="{70F16539-A4CB-49B8-A936-124CA989530D}">
      <text>
        <r>
          <rPr>
            <sz val="9"/>
            <color indexed="81"/>
            <rFont val="MS P ゴシック"/>
            <family val="3"/>
            <charset val="128"/>
          </rPr>
          <t>適格請求書発行事業者の場合は、Tから始まる13桁の番号を入力してください</t>
        </r>
      </text>
    </comment>
    <comment ref="D10" authorId="0" shapeId="0" xr:uid="{AB329CFE-8C51-4B21-9285-1E3700566151}">
      <text>
        <r>
          <rPr>
            <sz val="9"/>
            <color indexed="81"/>
            <rFont val="MS P ゴシック"/>
            <family val="3"/>
            <charset val="128"/>
          </rPr>
          <t xml:space="preserve">交通費の場合は区間も入力してください
</t>
        </r>
      </text>
    </comment>
    <comment ref="D11" authorId="0" shapeId="0" xr:uid="{B9ABCC71-5420-41D4-BC2D-865B8F51F70D}">
      <text>
        <r>
          <rPr>
            <b/>
            <sz val="9"/>
            <color indexed="81"/>
            <rFont val="MS P ゴシック"/>
            <family val="3"/>
            <charset val="128"/>
          </rPr>
          <t>松岡 麻美:</t>
        </r>
        <r>
          <rPr>
            <sz val="9"/>
            <color indexed="81"/>
            <rFont val="MS P ゴシック"/>
            <family val="3"/>
            <charset val="128"/>
          </rPr>
          <t xml:space="preserve">
E列に下記を入力してください
・軽減税率の場合「※」
・非課税の場合は「非」
それ以外は空欄</t>
        </r>
      </text>
    </comment>
    <comment ref="F11" authorId="0" shapeId="0" xr:uid="{7F98BE1B-ECB1-414A-9E81-97B5022E5F86}">
      <text>
        <r>
          <rPr>
            <sz val="9"/>
            <color indexed="81"/>
            <rFont val="MS P ゴシック"/>
            <family val="3"/>
            <charset val="128"/>
          </rPr>
          <t xml:space="preserve">G列に領収書の有無を入力してください
</t>
        </r>
      </text>
    </comment>
  </commentList>
</comments>
</file>

<file path=xl/sharedStrings.xml><?xml version="1.0" encoding="utf-8"?>
<sst xmlns="http://schemas.openxmlformats.org/spreadsheetml/2006/main" count="68" uniqueCount="33">
  <si>
    <t>株式会社クレイス　御中</t>
    <rPh sb="0" eb="4">
      <t>カブシキガイシャ</t>
    </rPh>
    <rPh sb="9" eb="11">
      <t>オンチュウ</t>
    </rPh>
    <phoneticPr fontId="3"/>
  </si>
  <si>
    <t>立替金精算書</t>
    <rPh sb="0" eb="3">
      <t>タテカエキン</t>
    </rPh>
    <rPh sb="3" eb="6">
      <t>セイサンショ</t>
    </rPh>
    <phoneticPr fontId="3"/>
  </si>
  <si>
    <t>提出日</t>
    <rPh sb="0" eb="2">
      <t>テイシュツ</t>
    </rPh>
    <rPh sb="2" eb="3">
      <t>ヒ</t>
    </rPh>
    <phoneticPr fontId="3"/>
  </si>
  <si>
    <t>会社名</t>
    <rPh sb="0" eb="3">
      <t>カイシャメイ</t>
    </rPh>
    <phoneticPr fontId="3"/>
  </si>
  <si>
    <t>株式会社ファンリード</t>
    <rPh sb="0" eb="4">
      <t>カブシキガイシャ</t>
    </rPh>
    <phoneticPr fontId="3"/>
  </si>
  <si>
    <t>申請者</t>
  </si>
  <si>
    <t>△△△△</t>
    <phoneticPr fontId="3"/>
  </si>
  <si>
    <t>合計金額（10％対象/税込）</t>
    <rPh sb="0" eb="2">
      <t>ゴウケイ</t>
    </rPh>
    <rPh sb="2" eb="4">
      <t>キンガク</t>
    </rPh>
    <rPh sb="8" eb="10">
      <t>タイショウ</t>
    </rPh>
    <rPh sb="11" eb="13">
      <t>ゼイコミ</t>
    </rPh>
    <phoneticPr fontId="3"/>
  </si>
  <si>
    <t>取引年月日</t>
    <rPh sb="0" eb="2">
      <t>トリヒキ</t>
    </rPh>
    <rPh sb="2" eb="3">
      <t>ネン</t>
    </rPh>
    <rPh sb="3" eb="4">
      <t>ガツ</t>
    </rPh>
    <rPh sb="4" eb="5">
      <t>ニチ</t>
    </rPh>
    <phoneticPr fontId="3"/>
  </si>
  <si>
    <t>支払先</t>
    <rPh sb="0" eb="2">
      <t>シハライ</t>
    </rPh>
    <rPh sb="2" eb="3">
      <t>サキ</t>
    </rPh>
    <phoneticPr fontId="3"/>
  </si>
  <si>
    <t>登録番号</t>
    <rPh sb="0" eb="4">
      <t>トウロクバンゴウ</t>
    </rPh>
    <phoneticPr fontId="3"/>
  </si>
  <si>
    <t>内容</t>
    <rPh sb="0" eb="2">
      <t>ナイヨウ</t>
    </rPh>
    <phoneticPr fontId="3"/>
  </si>
  <si>
    <t>金額</t>
    <rPh sb="0" eb="2">
      <t>キンガク</t>
    </rPh>
    <phoneticPr fontId="3"/>
  </si>
  <si>
    <t>備考</t>
    <rPh sb="0" eb="2">
      <t>ビコウ</t>
    </rPh>
    <phoneticPr fontId="3"/>
  </si>
  <si>
    <t>（※：軽減税率対象商品／
非：非課税）</t>
    <phoneticPr fontId="3"/>
  </si>
  <si>
    <t>（領収書有無／№等）</t>
    <phoneticPr fontId="3"/>
  </si>
  <si>
    <t>東日本旅客鉄道株式会社</t>
    <rPh sb="0" eb="1">
      <t>ヒガシ</t>
    </rPh>
    <rPh sb="1" eb="3">
      <t>ニホン</t>
    </rPh>
    <rPh sb="3" eb="5">
      <t>リョカク</t>
    </rPh>
    <rPh sb="5" eb="7">
      <t>テツドウ</t>
    </rPh>
    <rPh sb="7" eb="11">
      <t>カブシキガイシャ</t>
    </rPh>
    <phoneticPr fontId="3"/>
  </si>
  <si>
    <t>交通費（新宿～池袋）</t>
    <rPh sb="0" eb="3">
      <t>コウツウヒ</t>
    </rPh>
    <rPh sb="4" eb="6">
      <t>シンジュク</t>
    </rPh>
    <rPh sb="7" eb="9">
      <t>イケブクロ</t>
    </rPh>
    <phoneticPr fontId="3"/>
  </si>
  <si>
    <t>無</t>
    <rPh sb="0" eb="1">
      <t>ナ</t>
    </rPh>
    <phoneticPr fontId="3"/>
  </si>
  <si>
    <t>-</t>
    <phoneticPr fontId="3"/>
  </si>
  <si>
    <t>出張日当</t>
    <rPh sb="0" eb="2">
      <t>シュッチョウ</t>
    </rPh>
    <rPh sb="2" eb="4">
      <t>ニットウ</t>
    </rPh>
    <phoneticPr fontId="3"/>
  </si>
  <si>
    <t>△△交通</t>
    <rPh sb="2" eb="4">
      <t>コウツウ</t>
    </rPh>
    <phoneticPr fontId="3"/>
  </si>
  <si>
    <t>T7654321…</t>
    <phoneticPr fontId="3"/>
  </si>
  <si>
    <t>タクシー</t>
    <phoneticPr fontId="3"/>
  </si>
  <si>
    <t>有</t>
    <rPh sb="0" eb="1">
      <t>ア</t>
    </rPh>
    <phoneticPr fontId="3"/>
  </si>
  <si>
    <t>№1</t>
    <phoneticPr fontId="3"/>
  </si>
  <si>
    <t>×××Hotel</t>
    <phoneticPr fontId="3"/>
  </si>
  <si>
    <t>T1234567…</t>
    <phoneticPr fontId="3"/>
  </si>
  <si>
    <t>宿泊費</t>
    <rPh sb="0" eb="3">
      <t>シュクハクヒ</t>
    </rPh>
    <phoneticPr fontId="3"/>
  </si>
  <si>
    <t>№123</t>
    <phoneticPr fontId="3"/>
  </si>
  <si>
    <t>合　計</t>
    <rPh sb="0" eb="1">
      <t>ア</t>
    </rPh>
    <rPh sb="2" eb="3">
      <t>ケイ</t>
    </rPh>
    <phoneticPr fontId="3"/>
  </si>
  <si>
    <t>株式会社ファンリード　御中</t>
    <rPh sb="0" eb="4">
      <t>カブシキガイシャ</t>
    </rPh>
    <rPh sb="11" eb="13">
      <t>オンチュウ</t>
    </rPh>
    <phoneticPr fontId="3"/>
  </si>
  <si>
    <t>小川　文範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</si>
</sst>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[$-F800]dddd\,\ mmmm\ dd\,\ yyyy"/>
    <numFmt numFmtId="177" formatCode="#,###&quot;円&quot;"/>
    <numFmt numFmtId="178" formatCode="\(&quot;う&quot;&quot;ち&quot;&quot;消&quot;&quot;費&quot;&quot;税&quot;#,###&quot;円&quot;\)"/>
    <numFmt numFmtId="179" formatCode="#,##0_);[Red]\(#,##0\)"/>
  </numFmts>
  <fonts count="1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11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76" fontId="4" fillId="0" borderId="8" xfId="0" applyNumberFormat="1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right" vertical="center"/>
    </xf>
    <xf numFmtId="176" fontId="4" fillId="0" borderId="10" xfId="0" applyNumberFormat="1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right" vertical="center"/>
    </xf>
    <xf numFmtId="177" fontId="6" fillId="0" borderId="15" xfId="1" applyNumberFormat="1" applyFont="1" applyBorder="1" applyAlignment="1">
      <alignment vertical="center"/>
    </xf>
    <xf numFmtId="178" fontId="6" fillId="0" borderId="5" xfId="1" applyNumberFormat="1" applyFont="1" applyBorder="1" applyAlignment="1">
      <alignment vertical="center"/>
    </xf>
    <xf numFmtId="176" fontId="4" fillId="0" borderId="16" xfId="0" applyNumberFormat="1" applyFont="1" applyBorder="1" applyAlignment="1">
      <alignment horizontal="center" vertical="center"/>
    </xf>
    <xf numFmtId="179" fontId="4" fillId="0" borderId="17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179" fontId="4" fillId="0" borderId="11" xfId="0" applyNumberFormat="1" applyFont="1" applyBorder="1" applyAlignment="1">
      <alignment horizontal="left" vertical="center"/>
    </xf>
    <xf numFmtId="179" fontId="4" fillId="0" borderId="13" xfId="0" applyNumberFormat="1" applyFont="1" applyBorder="1" applyAlignment="1">
      <alignment horizontal="left" vertical="center"/>
    </xf>
    <xf numFmtId="179" fontId="4" fillId="0" borderId="28" xfId="0" applyNumberFormat="1" applyFont="1" applyBorder="1" applyAlignment="1">
      <alignment horizontal="left" vertical="center"/>
    </xf>
    <xf numFmtId="179" fontId="4" fillId="0" borderId="29" xfId="0" applyNumberFormat="1" applyFont="1" applyBorder="1" applyAlignment="1">
      <alignment horizontal="center" vertical="center"/>
    </xf>
    <xf numFmtId="179" fontId="4" fillId="0" borderId="30" xfId="0" applyNumberFormat="1" applyFont="1" applyBorder="1" applyAlignment="1">
      <alignment horizontal="center" vertical="center"/>
    </xf>
    <xf numFmtId="179" fontId="4" fillId="0" borderId="31" xfId="0" applyNumberFormat="1" applyFont="1" applyBorder="1" applyAlignment="1">
      <alignment horizontal="center" vertical="center"/>
    </xf>
    <xf numFmtId="0" fontId="4" fillId="0" borderId="29" xfId="1" applyNumberFormat="1" applyFont="1" applyBorder="1" applyAlignment="1">
      <alignment horizontal="left" vertical="center" shrinkToFit="1"/>
    </xf>
    <xf numFmtId="0" fontId="4" fillId="0" borderId="32" xfId="1" applyNumberFormat="1" applyFont="1" applyBorder="1" applyAlignment="1">
      <alignment horizontal="left" vertical="center" shrinkToFit="1"/>
    </xf>
    <xf numFmtId="0" fontId="4" fillId="0" borderId="30" xfId="1" applyNumberFormat="1" applyFont="1" applyBorder="1" applyAlignment="1">
      <alignment horizontal="left" vertical="center" shrinkToFit="1"/>
    </xf>
    <xf numFmtId="0" fontId="4" fillId="0" borderId="31" xfId="1" applyNumberFormat="1" applyFont="1" applyBorder="1" applyAlignment="1">
      <alignment horizontal="left" vertical="center" shrinkToFit="1"/>
    </xf>
    <xf numFmtId="179" fontId="4" fillId="0" borderId="20" xfId="0" applyNumberFormat="1" applyFont="1" applyBorder="1" applyAlignment="1">
      <alignment horizontal="left" vertical="center"/>
    </xf>
    <xf numFmtId="179" fontId="4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179" fontId="4" fillId="0" borderId="24" xfId="0" applyNumberFormat="1" applyFont="1" applyBorder="1" applyAlignment="1">
      <alignment horizontal="left" vertical="center"/>
    </xf>
    <xf numFmtId="179" fontId="4" fillId="0" borderId="18" xfId="0" applyNumberFormat="1" applyFont="1" applyBorder="1" applyAlignment="1">
      <alignment horizontal="left" vertical="center"/>
    </xf>
    <xf numFmtId="0" fontId="4" fillId="0" borderId="9" xfId="1" applyNumberFormat="1" applyFont="1" applyBorder="1" applyAlignment="1">
      <alignment horizontal="left" vertical="center" shrinkToFit="1"/>
    </xf>
    <xf numFmtId="0" fontId="4" fillId="0" borderId="14" xfId="1" applyNumberFormat="1" applyFont="1" applyBorder="1" applyAlignment="1">
      <alignment horizontal="left" vertical="center" shrinkToFit="1"/>
    </xf>
    <xf numFmtId="0" fontId="4" fillId="0" borderId="33" xfId="1" applyNumberFormat="1" applyFont="1" applyBorder="1" applyAlignment="1">
      <alignment horizontal="left" vertical="center" shrinkToFit="1"/>
    </xf>
    <xf numFmtId="0" fontId="4" fillId="3" borderId="21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8</xdr:row>
      <xdr:rowOff>217715</xdr:rowOff>
    </xdr:from>
    <xdr:to>
      <xdr:col>15</xdr:col>
      <xdr:colOff>544286</xdr:colOff>
      <xdr:row>23</xdr:row>
      <xdr:rowOff>190500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1FD2B96-FF84-6D6D-627A-03770956A9A2}"/>
            </a:ext>
          </a:extLst>
        </xdr:cNvPr>
        <xdr:cNvSpPr/>
      </xdr:nvSpPr>
      <xdr:spPr>
        <a:xfrm>
          <a:off x="11879035" y="3565072"/>
          <a:ext cx="7647215" cy="440871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 b="1">
              <a:solidFill>
                <a:sysClr val="windowText" lastClr="000000"/>
              </a:solidFill>
            </a:rPr>
            <a:t>※C</a:t>
          </a:r>
          <a:r>
            <a:rPr kumimoji="1" lang="ja-JP" altLang="en-US" sz="1800" b="1">
              <a:solidFill>
                <a:sysClr val="windowText" lastClr="000000"/>
              </a:solidFill>
            </a:rPr>
            <a:t>列「登録番号」について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インボイス制度の「事業者登録番号」です。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（法人番号の先頭に「</a:t>
          </a:r>
          <a:r>
            <a:rPr kumimoji="1" lang="en-US" altLang="ja-JP" sz="1800" b="1">
              <a:solidFill>
                <a:sysClr val="windowText" lastClr="000000"/>
              </a:solidFill>
            </a:rPr>
            <a:t>T</a:t>
          </a:r>
          <a:r>
            <a:rPr kumimoji="1" lang="ja-JP" altLang="en-US" sz="1800" b="1">
              <a:solidFill>
                <a:sysClr val="windowText" lastClr="000000"/>
              </a:solidFill>
            </a:rPr>
            <a:t>」がついたもの。）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800" b="1">
              <a:solidFill>
                <a:sysClr val="windowText" lastClr="000000"/>
              </a:solidFill>
            </a:rPr>
            <a:t>T</a:t>
          </a:r>
          <a:r>
            <a:rPr kumimoji="1" lang="ja-JP" altLang="en-US" sz="1800" b="1">
              <a:solidFill>
                <a:sysClr val="windowText" lastClr="000000"/>
              </a:solidFill>
            </a:rPr>
            <a:t>番号の記載につきまして、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・</a:t>
          </a:r>
          <a:r>
            <a:rPr kumimoji="1" lang="en-US" altLang="ja-JP" sz="1800" b="1">
              <a:solidFill>
                <a:sysClr val="windowText" lastClr="000000"/>
              </a:solidFill>
            </a:rPr>
            <a:t>1</a:t>
          </a:r>
          <a:r>
            <a:rPr kumimoji="1" lang="ja-JP" altLang="en-US" sz="1800" b="1">
              <a:solidFill>
                <a:sysClr val="windowText" lastClr="000000"/>
              </a:solidFill>
            </a:rPr>
            <a:t>明細</a:t>
          </a:r>
          <a:r>
            <a:rPr kumimoji="1" lang="en-US" altLang="ja-JP" sz="1800" b="1">
              <a:solidFill>
                <a:sysClr val="windowText" lastClr="000000"/>
              </a:solidFill>
            </a:rPr>
            <a:t>3</a:t>
          </a:r>
          <a:r>
            <a:rPr kumimoji="1" lang="ja-JP" altLang="en-US" sz="1800" b="1">
              <a:solidFill>
                <a:sysClr val="windowText" lastClr="000000"/>
              </a:solidFill>
            </a:rPr>
            <a:t>万円未満の公共交通機関（新幹線含む電車・バス・船）は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　記載が免除されます。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　</a:t>
          </a:r>
          <a:r>
            <a:rPr kumimoji="1" lang="en-US" altLang="ja-JP" sz="1800" b="1">
              <a:solidFill>
                <a:srgbClr val="FF0000"/>
              </a:solidFill>
            </a:rPr>
            <a:t>※</a:t>
          </a:r>
          <a:r>
            <a:rPr kumimoji="1" lang="ja-JP" altLang="en-US" sz="1800" b="1">
              <a:solidFill>
                <a:srgbClr val="FF0000"/>
              </a:solidFill>
            </a:rPr>
            <a:t>飛行機・タクシー・ホテルなど上記に含まれないものは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r>
            <a:rPr kumimoji="1" lang="ja-JP" altLang="en-US" sz="1800" b="1">
              <a:solidFill>
                <a:srgbClr val="FF0000"/>
              </a:solidFill>
            </a:rPr>
            <a:t>　　</a:t>
          </a:r>
          <a:r>
            <a:rPr kumimoji="1" lang="en-US" altLang="ja-JP" sz="1800" b="1">
              <a:solidFill>
                <a:srgbClr val="FF0000"/>
              </a:solidFill>
            </a:rPr>
            <a:t>3</a:t>
          </a:r>
          <a:r>
            <a:rPr kumimoji="1" lang="ja-JP" altLang="en-US" sz="1800" b="1">
              <a:solidFill>
                <a:srgbClr val="FF0000"/>
              </a:solidFill>
            </a:rPr>
            <a:t>万円未満であっても記載が必要です。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8</xdr:row>
      <xdr:rowOff>217715</xdr:rowOff>
    </xdr:from>
    <xdr:to>
      <xdr:col>15</xdr:col>
      <xdr:colOff>544286</xdr:colOff>
      <xdr:row>23</xdr:row>
      <xdr:rowOff>190500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C1B5621-C0BF-4025-8312-AAAB2BDA2B8B}"/>
            </a:ext>
          </a:extLst>
        </xdr:cNvPr>
        <xdr:cNvSpPr/>
      </xdr:nvSpPr>
      <xdr:spPr>
        <a:xfrm>
          <a:off x="10525124" y="2497365"/>
          <a:ext cx="7046687" cy="439873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 b="1">
              <a:solidFill>
                <a:sysClr val="windowText" lastClr="000000"/>
              </a:solidFill>
            </a:rPr>
            <a:t>※C</a:t>
          </a:r>
          <a:r>
            <a:rPr kumimoji="1" lang="ja-JP" altLang="en-US" sz="1800" b="1">
              <a:solidFill>
                <a:sysClr val="windowText" lastClr="000000"/>
              </a:solidFill>
            </a:rPr>
            <a:t>列「登録番号」について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インボイス制度の「事業者登録番号」です。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（法人番号の先頭に「</a:t>
          </a:r>
          <a:r>
            <a:rPr kumimoji="1" lang="en-US" altLang="ja-JP" sz="1800" b="1">
              <a:solidFill>
                <a:sysClr val="windowText" lastClr="000000"/>
              </a:solidFill>
            </a:rPr>
            <a:t>T</a:t>
          </a:r>
          <a:r>
            <a:rPr kumimoji="1" lang="ja-JP" altLang="en-US" sz="1800" b="1">
              <a:solidFill>
                <a:sysClr val="windowText" lastClr="000000"/>
              </a:solidFill>
            </a:rPr>
            <a:t>」がついたもの。）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800" b="1">
              <a:solidFill>
                <a:sysClr val="windowText" lastClr="000000"/>
              </a:solidFill>
            </a:rPr>
            <a:t>T</a:t>
          </a:r>
          <a:r>
            <a:rPr kumimoji="1" lang="ja-JP" altLang="en-US" sz="1800" b="1">
              <a:solidFill>
                <a:sysClr val="windowText" lastClr="000000"/>
              </a:solidFill>
            </a:rPr>
            <a:t>番号の記載につきまして、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・</a:t>
          </a:r>
          <a:r>
            <a:rPr kumimoji="1" lang="en-US" altLang="ja-JP" sz="1800" b="1">
              <a:solidFill>
                <a:sysClr val="windowText" lastClr="000000"/>
              </a:solidFill>
            </a:rPr>
            <a:t>1</a:t>
          </a:r>
          <a:r>
            <a:rPr kumimoji="1" lang="ja-JP" altLang="en-US" sz="1800" b="1">
              <a:solidFill>
                <a:sysClr val="windowText" lastClr="000000"/>
              </a:solidFill>
            </a:rPr>
            <a:t>明細</a:t>
          </a:r>
          <a:r>
            <a:rPr kumimoji="1" lang="en-US" altLang="ja-JP" sz="1800" b="1">
              <a:solidFill>
                <a:sysClr val="windowText" lastClr="000000"/>
              </a:solidFill>
            </a:rPr>
            <a:t>3</a:t>
          </a:r>
          <a:r>
            <a:rPr kumimoji="1" lang="ja-JP" altLang="en-US" sz="1800" b="1">
              <a:solidFill>
                <a:sysClr val="windowText" lastClr="000000"/>
              </a:solidFill>
            </a:rPr>
            <a:t>万円未満の公共交通機関（新幹線含む電車・バス・船）は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　記載が免除されます。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 b="1">
              <a:solidFill>
                <a:sysClr val="windowText" lastClr="000000"/>
              </a:solidFill>
            </a:rPr>
            <a:t>　</a:t>
          </a:r>
          <a:r>
            <a:rPr kumimoji="1" lang="en-US" altLang="ja-JP" sz="1800" b="1">
              <a:solidFill>
                <a:srgbClr val="FF0000"/>
              </a:solidFill>
            </a:rPr>
            <a:t>※</a:t>
          </a:r>
          <a:r>
            <a:rPr kumimoji="1" lang="ja-JP" altLang="en-US" sz="1800" b="1">
              <a:solidFill>
                <a:srgbClr val="FF0000"/>
              </a:solidFill>
            </a:rPr>
            <a:t>飛行機・タクシー・ホテルなど上記に含まれないものは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r>
            <a:rPr kumimoji="1" lang="ja-JP" altLang="en-US" sz="1800" b="1">
              <a:solidFill>
                <a:srgbClr val="FF0000"/>
              </a:solidFill>
            </a:rPr>
            <a:t>　　</a:t>
          </a:r>
          <a:r>
            <a:rPr kumimoji="1" lang="en-US" altLang="ja-JP" sz="1800" b="1">
              <a:solidFill>
                <a:srgbClr val="FF0000"/>
              </a:solidFill>
            </a:rPr>
            <a:t>3</a:t>
          </a:r>
          <a:r>
            <a:rPr kumimoji="1" lang="ja-JP" altLang="en-US" sz="1800" b="1">
              <a:solidFill>
                <a:srgbClr val="FF0000"/>
              </a:solidFill>
            </a:rPr>
            <a:t>万円未満であっても記載が必要です。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  <a:p>
          <a:pPr algn="l"/>
          <a:endParaRPr kumimoji="1" lang="en-US" altLang="ja-JP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CC7A-D7CB-43BF-847D-519051C8412E}">
  <sheetPr>
    <pageSetUpPr fitToPage="1"/>
  </sheetPr>
  <dimension ref="A1:H49"/>
  <sheetViews>
    <sheetView view="pageBreakPreview" zoomScale="90" zoomScaleNormal="80" zoomScaleSheetLayoutView="90" workbookViewId="0">
      <selection activeCell="A12" sqref="A12:G15"/>
    </sheetView>
  </sheetViews>
  <sheetFormatPr defaultColWidth="9" defaultRowHeight="18"/>
  <cols>
    <col min="1" max="1" width="19.42578125" style="2" customWidth="1"/>
    <col min="2" max="3" width="24.42578125" style="2" customWidth="1"/>
    <col min="4" max="4" width="26.85546875" style="2" customWidth="1"/>
    <col min="5" max="5" width="17.42578125" style="2" bestFit="1" customWidth="1"/>
    <col min="6" max="6" width="5.42578125" style="2" customWidth="1"/>
    <col min="7" max="7" width="27.140625" style="2" bestFit="1" customWidth="1"/>
    <col min="8" max="8" width="13.5703125" style="2" customWidth="1"/>
    <col min="9" max="9" width="19.140625" style="2" customWidth="1"/>
    <col min="10" max="11" width="9.85546875" style="2" customWidth="1"/>
    <col min="12" max="12" width="21.5703125" style="2" customWidth="1"/>
    <col min="13" max="16384" width="9" style="2"/>
  </cols>
  <sheetData>
    <row r="1" spans="1:8" ht="30" customHeight="1">
      <c r="A1" s="1" t="s">
        <v>0</v>
      </c>
      <c r="C1" s="45" t="s">
        <v>1</v>
      </c>
      <c r="D1" s="45"/>
    </row>
    <row r="2" spans="1:8" ht="21" customHeight="1">
      <c r="A2" s="1"/>
      <c r="C2" s="3"/>
      <c r="D2" s="3"/>
    </row>
    <row r="3" spans="1:8" ht="21.6" customHeight="1">
      <c r="E3" s="4" t="s">
        <v>2</v>
      </c>
      <c r="F3" s="46">
        <v>45716</v>
      </c>
      <c r="G3" s="46"/>
    </row>
    <row r="4" spans="1:8" ht="21.6" customHeight="1">
      <c r="A4" s="5"/>
      <c r="E4" s="4" t="s">
        <v>3</v>
      </c>
      <c r="F4" s="47" t="s">
        <v>4</v>
      </c>
      <c r="G4" s="47"/>
      <c r="H4" s="6"/>
    </row>
    <row r="5" spans="1:8" ht="21.6" customHeight="1">
      <c r="A5" s="5"/>
      <c r="E5" s="4" t="s">
        <v>5</v>
      </c>
      <c r="F5" s="47" t="s">
        <v>6</v>
      </c>
      <c r="G5" s="47"/>
      <c r="H5" s="7"/>
    </row>
    <row r="6" spans="1:8" ht="21.6" customHeight="1" thickBot="1">
      <c r="A6" s="5"/>
      <c r="H6" s="7"/>
    </row>
    <row r="7" spans="1:8" ht="21.6" customHeight="1" thickBot="1">
      <c r="A7" s="48" t="s">
        <v>7</v>
      </c>
      <c r="B7" s="49"/>
      <c r="C7" s="14">
        <f>$E$49</f>
        <v>14565</v>
      </c>
      <c r="D7" s="15">
        <f>ROUNDDOWN($C$7*0.1/1.1,0)</f>
        <v>1324</v>
      </c>
      <c r="H7" s="8"/>
    </row>
    <row r="8" spans="1:8" ht="20.100000000000001" customHeight="1">
      <c r="A8" s="9"/>
    </row>
    <row r="9" spans="1:8" ht="20.100000000000001" customHeight="1" thickBot="1">
      <c r="A9" s="9"/>
    </row>
    <row r="10" spans="1:8" ht="31.35" customHeight="1">
      <c r="A10" s="50" t="s">
        <v>8</v>
      </c>
      <c r="B10" s="52" t="s">
        <v>9</v>
      </c>
      <c r="C10" s="50" t="s">
        <v>10</v>
      </c>
      <c r="D10" s="37" t="s">
        <v>11</v>
      </c>
      <c r="E10" s="50" t="s">
        <v>12</v>
      </c>
      <c r="F10" s="52" t="s">
        <v>13</v>
      </c>
      <c r="G10" s="54"/>
    </row>
    <row r="11" spans="1:8" ht="29.1" customHeight="1" thickBot="1">
      <c r="A11" s="51"/>
      <c r="B11" s="53"/>
      <c r="C11" s="51"/>
      <c r="D11" s="38" t="s">
        <v>14</v>
      </c>
      <c r="E11" s="51"/>
      <c r="F11" s="39" t="s">
        <v>15</v>
      </c>
      <c r="G11" s="40"/>
    </row>
    <row r="12" spans="1:8" ht="23.1" customHeight="1">
      <c r="A12" s="10">
        <v>45669</v>
      </c>
      <c r="B12" s="29" t="s">
        <v>16</v>
      </c>
      <c r="C12" s="34"/>
      <c r="D12" s="25" t="s">
        <v>17</v>
      </c>
      <c r="E12" s="11">
        <v>165</v>
      </c>
      <c r="F12" s="22" t="s">
        <v>18</v>
      </c>
      <c r="G12" s="19"/>
    </row>
    <row r="13" spans="1:8" ht="23.1" customHeight="1">
      <c r="A13" s="10">
        <v>45672</v>
      </c>
      <c r="B13" s="30" t="s">
        <v>19</v>
      </c>
      <c r="C13" s="34" t="s">
        <v>19</v>
      </c>
      <c r="D13" s="26" t="s">
        <v>20</v>
      </c>
      <c r="E13" s="11">
        <v>2000</v>
      </c>
      <c r="F13" s="23" t="s">
        <v>18</v>
      </c>
      <c r="G13" s="20"/>
    </row>
    <row r="14" spans="1:8" ht="23.1" customHeight="1">
      <c r="A14" s="12">
        <v>45678</v>
      </c>
      <c r="B14" s="30" t="s">
        <v>21</v>
      </c>
      <c r="C14" s="35" t="s">
        <v>22</v>
      </c>
      <c r="D14" s="27" t="s">
        <v>23</v>
      </c>
      <c r="E14" s="13">
        <v>2400</v>
      </c>
      <c r="F14" s="23" t="s">
        <v>24</v>
      </c>
      <c r="G14" s="20" t="s">
        <v>25</v>
      </c>
    </row>
    <row r="15" spans="1:8" ht="23.1" customHeight="1">
      <c r="A15" s="12">
        <v>45679</v>
      </c>
      <c r="B15" s="31" t="s">
        <v>26</v>
      </c>
      <c r="C15" s="35" t="s">
        <v>27</v>
      </c>
      <c r="D15" s="27" t="s">
        <v>28</v>
      </c>
      <c r="E15" s="13">
        <v>10000</v>
      </c>
      <c r="F15" s="23" t="s">
        <v>24</v>
      </c>
      <c r="G15" s="20" t="s">
        <v>29</v>
      </c>
    </row>
    <row r="16" spans="1:8" ht="23.1" customHeight="1">
      <c r="A16" s="12"/>
      <c r="B16" s="31"/>
      <c r="C16" s="35"/>
      <c r="D16" s="27"/>
      <c r="E16" s="13"/>
      <c r="F16" s="23"/>
      <c r="G16" s="20"/>
    </row>
    <row r="17" spans="1:7" ht="23.1" customHeight="1">
      <c r="A17" s="12"/>
      <c r="B17" s="31"/>
      <c r="C17" s="35"/>
      <c r="D17" s="27"/>
      <c r="E17" s="13"/>
      <c r="F17" s="23"/>
      <c r="G17" s="20"/>
    </row>
    <row r="18" spans="1:7" ht="23.1" customHeight="1">
      <c r="A18" s="12"/>
      <c r="B18" s="31"/>
      <c r="C18" s="35"/>
      <c r="D18" s="27"/>
      <c r="E18" s="13"/>
      <c r="F18" s="23"/>
      <c r="G18" s="20"/>
    </row>
    <row r="19" spans="1:7" ht="23.1" customHeight="1">
      <c r="A19" s="12"/>
      <c r="B19" s="31"/>
      <c r="C19" s="35"/>
      <c r="D19" s="27"/>
      <c r="E19" s="13"/>
      <c r="F19" s="23"/>
      <c r="G19" s="20"/>
    </row>
    <row r="20" spans="1:7" ht="23.1" customHeight="1">
      <c r="A20" s="12"/>
      <c r="B20" s="31"/>
      <c r="C20" s="35"/>
      <c r="D20" s="27"/>
      <c r="E20" s="13"/>
      <c r="F20" s="23"/>
      <c r="G20" s="20"/>
    </row>
    <row r="21" spans="1:7" ht="23.1" customHeight="1">
      <c r="A21" s="12"/>
      <c r="B21" s="31"/>
      <c r="C21" s="35"/>
      <c r="D21" s="27"/>
      <c r="E21" s="13"/>
      <c r="F21" s="23"/>
      <c r="G21" s="20"/>
    </row>
    <row r="22" spans="1:7" ht="23.1" customHeight="1">
      <c r="A22" s="12"/>
      <c r="B22" s="31"/>
      <c r="C22" s="35"/>
      <c r="D22" s="27"/>
      <c r="E22" s="13"/>
      <c r="F22" s="23"/>
      <c r="G22" s="20"/>
    </row>
    <row r="23" spans="1:7" ht="23.1" customHeight="1">
      <c r="A23" s="12"/>
      <c r="B23" s="30"/>
      <c r="C23" s="35"/>
      <c r="D23" s="27"/>
      <c r="E23" s="13"/>
      <c r="F23" s="23"/>
      <c r="G23" s="20"/>
    </row>
    <row r="24" spans="1:7" ht="23.1" customHeight="1">
      <c r="A24" s="12"/>
      <c r="B24" s="31"/>
      <c r="C24" s="35"/>
      <c r="D24" s="27"/>
      <c r="E24" s="13"/>
      <c r="F24" s="23"/>
      <c r="G24" s="20"/>
    </row>
    <row r="25" spans="1:7" ht="23.1" customHeight="1">
      <c r="A25" s="12"/>
      <c r="B25" s="31"/>
      <c r="C25" s="35"/>
      <c r="D25" s="27"/>
      <c r="E25" s="13"/>
      <c r="F25" s="23"/>
      <c r="G25" s="20"/>
    </row>
    <row r="26" spans="1:7" ht="23.1" customHeight="1">
      <c r="A26" s="12"/>
      <c r="B26" s="31"/>
      <c r="C26" s="35"/>
      <c r="D26" s="27"/>
      <c r="E26" s="13"/>
      <c r="F26" s="23"/>
      <c r="G26" s="20"/>
    </row>
    <row r="27" spans="1:7" ht="23.1" customHeight="1">
      <c r="A27" s="12"/>
      <c r="B27" s="31"/>
      <c r="C27" s="35"/>
      <c r="D27" s="27"/>
      <c r="E27" s="13"/>
      <c r="F27" s="23"/>
      <c r="G27" s="20"/>
    </row>
    <row r="28" spans="1:7" ht="23.1" customHeight="1">
      <c r="A28" s="12"/>
      <c r="B28" s="31"/>
      <c r="C28" s="35"/>
      <c r="D28" s="27"/>
      <c r="E28" s="13"/>
      <c r="F28" s="23"/>
      <c r="G28" s="20"/>
    </row>
    <row r="29" spans="1:7" ht="23.1" customHeight="1">
      <c r="A29" s="12"/>
      <c r="B29" s="31"/>
      <c r="C29" s="35"/>
      <c r="D29" s="27"/>
      <c r="E29" s="13"/>
      <c r="F29" s="23"/>
      <c r="G29" s="20"/>
    </row>
    <row r="30" spans="1:7" ht="23.1" customHeight="1">
      <c r="A30" s="12"/>
      <c r="B30" s="32"/>
      <c r="C30" s="34"/>
      <c r="D30" s="26"/>
      <c r="E30" s="13"/>
      <c r="F30" s="23"/>
      <c r="G30" s="20"/>
    </row>
    <row r="31" spans="1:7" ht="23.1" customHeight="1">
      <c r="A31" s="12"/>
      <c r="B31" s="30"/>
      <c r="C31" s="35"/>
      <c r="D31" s="27"/>
      <c r="E31" s="13"/>
      <c r="F31" s="23"/>
      <c r="G31" s="20"/>
    </row>
    <row r="32" spans="1:7" ht="23.1" customHeight="1">
      <c r="A32" s="12"/>
      <c r="B32" s="30"/>
      <c r="C32" s="35"/>
      <c r="D32" s="27"/>
      <c r="E32" s="13"/>
      <c r="F32" s="23"/>
      <c r="G32" s="20"/>
    </row>
    <row r="33" spans="1:7" ht="23.1" customHeight="1">
      <c r="A33" s="12"/>
      <c r="B33" s="30"/>
      <c r="C33" s="35"/>
      <c r="D33" s="27"/>
      <c r="E33" s="13"/>
      <c r="F33" s="23"/>
      <c r="G33" s="20"/>
    </row>
    <row r="34" spans="1:7" ht="23.1" customHeight="1">
      <c r="A34" s="12"/>
      <c r="B34" s="30"/>
      <c r="C34" s="35"/>
      <c r="D34" s="27"/>
      <c r="E34" s="13"/>
      <c r="F34" s="23"/>
      <c r="G34" s="20"/>
    </row>
    <row r="35" spans="1:7" ht="23.1" customHeight="1">
      <c r="A35" s="12"/>
      <c r="B35" s="30"/>
      <c r="C35" s="35"/>
      <c r="D35" s="27"/>
      <c r="E35" s="13"/>
      <c r="F35" s="23"/>
      <c r="G35" s="20"/>
    </row>
    <row r="36" spans="1:7" ht="23.1" customHeight="1">
      <c r="A36" s="12"/>
      <c r="B36" s="30"/>
      <c r="C36" s="35"/>
      <c r="D36" s="27"/>
      <c r="E36" s="13"/>
      <c r="F36" s="23"/>
      <c r="G36" s="20"/>
    </row>
    <row r="37" spans="1:7" ht="23.1" customHeight="1">
      <c r="A37" s="12"/>
      <c r="B37" s="30"/>
      <c r="C37" s="35"/>
      <c r="D37" s="27"/>
      <c r="E37" s="13"/>
      <c r="F37" s="23"/>
      <c r="G37" s="20"/>
    </row>
    <row r="38" spans="1:7" ht="23.1" customHeight="1">
      <c r="A38" s="12"/>
      <c r="B38" s="30"/>
      <c r="C38" s="35"/>
      <c r="D38" s="27"/>
      <c r="E38" s="13"/>
      <c r="F38" s="23"/>
      <c r="G38" s="20"/>
    </row>
    <row r="39" spans="1:7" ht="23.1" customHeight="1">
      <c r="A39" s="12"/>
      <c r="B39" s="30"/>
      <c r="C39" s="35"/>
      <c r="D39" s="27"/>
      <c r="E39" s="13"/>
      <c r="F39" s="23"/>
      <c r="G39" s="20"/>
    </row>
    <row r="40" spans="1:7" ht="23.1" customHeight="1">
      <c r="A40" s="12"/>
      <c r="B40" s="30"/>
      <c r="C40" s="35"/>
      <c r="D40" s="27"/>
      <c r="E40" s="13"/>
      <c r="F40" s="23"/>
      <c r="G40" s="20"/>
    </row>
    <row r="41" spans="1:7" ht="23.1" customHeight="1">
      <c r="A41" s="12"/>
      <c r="B41" s="30"/>
      <c r="C41" s="35"/>
      <c r="D41" s="27"/>
      <c r="E41" s="13"/>
      <c r="F41" s="23"/>
      <c r="G41" s="20"/>
    </row>
    <row r="42" spans="1:7" ht="23.1" customHeight="1">
      <c r="A42" s="12"/>
      <c r="B42" s="30"/>
      <c r="C42" s="35"/>
      <c r="D42" s="27"/>
      <c r="E42" s="13"/>
      <c r="F42" s="23"/>
      <c r="G42" s="20"/>
    </row>
    <row r="43" spans="1:7" ht="23.1" customHeight="1">
      <c r="A43" s="12"/>
      <c r="B43" s="30"/>
      <c r="C43" s="35"/>
      <c r="D43" s="27"/>
      <c r="E43" s="13"/>
      <c r="F43" s="23"/>
      <c r="G43" s="20"/>
    </row>
    <row r="44" spans="1:7" ht="23.1" customHeight="1">
      <c r="A44" s="12"/>
      <c r="B44" s="30"/>
      <c r="C44" s="35"/>
      <c r="D44" s="27"/>
      <c r="E44" s="13"/>
      <c r="F44" s="23"/>
      <c r="G44" s="20"/>
    </row>
    <row r="45" spans="1:7" ht="23.1" customHeight="1">
      <c r="A45" s="12"/>
      <c r="B45" s="30"/>
      <c r="C45" s="35"/>
      <c r="D45" s="27"/>
      <c r="E45" s="13"/>
      <c r="F45" s="23"/>
      <c r="G45" s="20"/>
    </row>
    <row r="46" spans="1:7" ht="23.1" customHeight="1">
      <c r="A46" s="12"/>
      <c r="B46" s="30"/>
      <c r="C46" s="35"/>
      <c r="D46" s="27"/>
      <c r="E46" s="13"/>
      <c r="F46" s="23"/>
      <c r="G46" s="20"/>
    </row>
    <row r="47" spans="1:7" ht="23.1" customHeight="1">
      <c r="A47" s="12"/>
      <c r="B47" s="30"/>
      <c r="C47" s="35"/>
      <c r="D47" s="27"/>
      <c r="E47" s="13"/>
      <c r="F47" s="23"/>
      <c r="G47" s="20"/>
    </row>
    <row r="48" spans="1:7" ht="23.1" customHeight="1" thickBot="1">
      <c r="A48" s="16"/>
      <c r="B48" s="33"/>
      <c r="C48" s="36"/>
      <c r="D48" s="28"/>
      <c r="E48" s="17"/>
      <c r="F48" s="24"/>
      <c r="G48" s="21"/>
    </row>
    <row r="49" spans="1:7" ht="32.450000000000003" customHeight="1" thickBot="1">
      <c r="A49" s="41" t="s">
        <v>30</v>
      </c>
      <c r="B49" s="42"/>
      <c r="C49" s="42"/>
      <c r="D49" s="42"/>
      <c r="E49" s="18">
        <f>SUM($E$12:$E$48)</f>
        <v>14565</v>
      </c>
      <c r="F49" s="43"/>
      <c r="G49" s="44"/>
    </row>
  </sheetData>
  <mergeCells count="13">
    <mergeCell ref="F5:G5"/>
    <mergeCell ref="F4:G4"/>
    <mergeCell ref="C1:D1"/>
    <mergeCell ref="F3:G3"/>
    <mergeCell ref="A7:B7"/>
    <mergeCell ref="F10:G10"/>
    <mergeCell ref="A49:D49"/>
    <mergeCell ref="F49:G49"/>
    <mergeCell ref="A10:A11"/>
    <mergeCell ref="B10:B11"/>
    <mergeCell ref="C10:C11"/>
    <mergeCell ref="E10:E11"/>
    <mergeCell ref="F11:G11"/>
  </mergeCells>
  <phoneticPr fontId="3"/>
  <printOptions horizontalCentered="1"/>
  <pageMargins left="0.7" right="0.7" top="0.75" bottom="0.75" header="0.3" footer="0.3"/>
  <pageSetup paperSize="9" scale="6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AD1A-77D9-41C4-9A98-25139344017D}">
  <sheetPr>
    <pageSetUpPr fitToPage="1"/>
  </sheetPr>
  <dimension ref="A1:H49"/>
  <sheetViews>
    <sheetView tabSelected="1" view="pageBreakPreview" topLeftCell="A3" zoomScale="80" zoomScaleNormal="80" zoomScaleSheetLayoutView="80" workbookViewId="0">
      <selection activeCell="H9" sqref="H9"/>
    </sheetView>
  </sheetViews>
  <sheetFormatPr defaultColWidth="9" defaultRowHeight="18"/>
  <cols>
    <col min="1" max="1" width="19.42578125" style="2" customWidth="1"/>
    <col min="2" max="3" width="24.42578125" style="2" customWidth="1"/>
    <col min="4" max="4" width="27" style="2" customWidth="1"/>
    <col min="5" max="5" width="17.42578125" style="2" bestFit="1" customWidth="1"/>
    <col min="6" max="6" width="5.42578125" style="2" customWidth="1"/>
    <col min="7" max="7" width="27.140625" style="2" bestFit="1" customWidth="1"/>
    <col min="8" max="8" width="13.5703125" style="2" customWidth="1"/>
    <col min="9" max="9" width="19.140625" style="2" customWidth="1"/>
    <col min="10" max="11" width="9.85546875" style="2" customWidth="1"/>
    <col min="12" max="12" width="21.5703125" style="2" customWidth="1"/>
    <col min="13" max="16384" width="9" style="2"/>
  </cols>
  <sheetData>
    <row r="1" spans="1:8" ht="30" customHeight="1">
      <c r="A1" s="55" t="s">
        <v>31</v>
      </c>
      <c r="B1" s="55"/>
      <c r="C1" s="45" t="s">
        <v>1</v>
      </c>
      <c r="D1" s="45"/>
    </row>
    <row r="2" spans="1:8" ht="21" customHeight="1">
      <c r="A2" s="1"/>
      <c r="C2" s="3"/>
      <c r="D2" s="3"/>
    </row>
    <row r="3" spans="1:8" ht="21.6" customHeight="1">
      <c r="E3" s="4" t="s">
        <v>2</v>
      </c>
      <c r="F3" s="46">
        <v>46113</v>
      </c>
      <c r="G3" s="46"/>
    </row>
    <row r="4" spans="1:8" ht="21.6" customHeight="1">
      <c r="A4" s="5"/>
      <c r="E4" s="4" t="s">
        <v>3</v>
      </c>
      <c r="F4" s="47" t="s">
        <v>4</v>
      </c>
      <c r="G4" s="47"/>
      <c r="H4" s="6"/>
    </row>
    <row r="5" spans="1:8" ht="21.6" customHeight="1">
      <c r="A5" s="5"/>
      <c r="E5" s="4" t="s">
        <v>5</v>
      </c>
      <c r="F5" s="47" t="s">
        <v>32</v>
      </c>
      <c r="G5" s="47"/>
      <c r="H5" s="7"/>
    </row>
    <row r="6" spans="1:8" ht="21.6" customHeight="1" thickBot="1">
      <c r="A6" s="5"/>
      <c r="H6" s="7"/>
    </row>
    <row r="7" spans="1:8" ht="21.6" customHeight="1" thickBot="1">
      <c r="A7" s="48" t="s">
        <v>7</v>
      </c>
      <c r="B7" s="49"/>
      <c r="C7" s="14">
        <f>$E$49</f>
        <v>14565</v>
      </c>
      <c r="D7" s="15">
        <f>ROUNDDOWN($C$7*0.1/1.1,0)</f>
        <v>1324</v>
      </c>
      <c r="H7" s="8"/>
    </row>
    <row r="8" spans="1:8" ht="20.100000000000001" customHeight="1">
      <c r="A8" s="9"/>
    </row>
    <row r="9" spans="1:8" ht="20.100000000000001" customHeight="1" thickBot="1">
      <c r="A9" s="9"/>
    </row>
    <row r="10" spans="1:8" ht="31.35" customHeight="1">
      <c r="A10" s="50" t="s">
        <v>8</v>
      </c>
      <c r="B10" s="52" t="s">
        <v>9</v>
      </c>
      <c r="C10" s="50" t="s">
        <v>10</v>
      </c>
      <c r="D10" s="37" t="s">
        <v>11</v>
      </c>
      <c r="E10" s="50" t="s">
        <v>12</v>
      </c>
      <c r="F10" s="52" t="s">
        <v>13</v>
      </c>
      <c r="G10" s="54"/>
    </row>
    <row r="11" spans="1:8" ht="29.1" customHeight="1" thickBot="1">
      <c r="A11" s="51"/>
      <c r="B11" s="53"/>
      <c r="C11" s="51"/>
      <c r="D11" s="38" t="s">
        <v>14</v>
      </c>
      <c r="E11" s="51"/>
      <c r="F11" s="39" t="s">
        <v>15</v>
      </c>
      <c r="G11" s="40"/>
    </row>
    <row r="12" spans="1:8" ht="23.1" customHeight="1">
      <c r="A12" s="10">
        <v>45669</v>
      </c>
      <c r="B12" s="29" t="s">
        <v>16</v>
      </c>
      <c r="C12" s="34"/>
      <c r="D12" s="25" t="s">
        <v>17</v>
      </c>
      <c r="E12" s="11">
        <v>165</v>
      </c>
      <c r="F12" s="22" t="s">
        <v>18</v>
      </c>
      <c r="G12" s="19"/>
    </row>
    <row r="13" spans="1:8" ht="23.1" customHeight="1">
      <c r="A13" s="10">
        <v>45672</v>
      </c>
      <c r="B13" s="30" t="s">
        <v>19</v>
      </c>
      <c r="C13" s="34" t="s">
        <v>19</v>
      </c>
      <c r="D13" s="26" t="s">
        <v>20</v>
      </c>
      <c r="E13" s="11">
        <v>2000</v>
      </c>
      <c r="F13" s="23" t="s">
        <v>18</v>
      </c>
      <c r="G13" s="20"/>
    </row>
    <row r="14" spans="1:8" ht="23.1" customHeight="1">
      <c r="A14" s="12">
        <v>45678</v>
      </c>
      <c r="B14" s="30" t="s">
        <v>21</v>
      </c>
      <c r="C14" s="35" t="s">
        <v>22</v>
      </c>
      <c r="D14" s="27" t="s">
        <v>23</v>
      </c>
      <c r="E14" s="13">
        <v>2400</v>
      </c>
      <c r="F14" s="23" t="s">
        <v>24</v>
      </c>
      <c r="G14" s="20" t="s">
        <v>25</v>
      </c>
    </row>
    <row r="15" spans="1:8" ht="23.1" customHeight="1">
      <c r="A15" s="12">
        <v>45679</v>
      </c>
      <c r="B15" s="31" t="s">
        <v>26</v>
      </c>
      <c r="C15" s="35" t="s">
        <v>27</v>
      </c>
      <c r="D15" s="27" t="s">
        <v>28</v>
      </c>
      <c r="E15" s="13">
        <v>10000</v>
      </c>
      <c r="F15" s="23" t="s">
        <v>24</v>
      </c>
      <c r="G15" s="20" t="s">
        <v>29</v>
      </c>
    </row>
    <row r="16" spans="1:8" ht="23.1" customHeight="1">
      <c r="A16" s="12"/>
      <c r="B16" s="31"/>
      <c r="C16" s="35"/>
      <c r="D16" s="27"/>
      <c r="E16" s="13"/>
      <c r="F16" s="23"/>
      <c r="G16" s="20"/>
    </row>
    <row r="17" spans="1:7" ht="23.1" customHeight="1">
      <c r="A17" s="12"/>
      <c r="B17" s="31"/>
      <c r="C17" s="35"/>
      <c r="D17" s="27"/>
      <c r="E17" s="13"/>
      <c r="F17" s="23"/>
      <c r="G17" s="20"/>
    </row>
    <row r="18" spans="1:7" ht="23.1" customHeight="1">
      <c r="A18" s="12"/>
      <c r="B18" s="31"/>
      <c r="C18" s="35"/>
      <c r="D18" s="27"/>
      <c r="E18" s="13"/>
      <c r="F18" s="23"/>
      <c r="G18" s="20"/>
    </row>
    <row r="19" spans="1:7" ht="23.1" customHeight="1">
      <c r="A19" s="12"/>
      <c r="B19" s="31"/>
      <c r="C19" s="35"/>
      <c r="D19" s="27"/>
      <c r="E19" s="13"/>
      <c r="F19" s="23"/>
      <c r="G19" s="20"/>
    </row>
    <row r="20" spans="1:7" ht="23.1" customHeight="1">
      <c r="A20" s="12"/>
      <c r="B20" s="31"/>
      <c r="C20" s="35"/>
      <c r="D20" s="27"/>
      <c r="E20" s="13"/>
      <c r="F20" s="23"/>
      <c r="G20" s="20"/>
    </row>
    <row r="21" spans="1:7" ht="23.1" customHeight="1">
      <c r="A21" s="12"/>
      <c r="B21" s="31"/>
      <c r="C21" s="35"/>
      <c r="D21" s="27"/>
      <c r="E21" s="13"/>
      <c r="F21" s="23"/>
      <c r="G21" s="20"/>
    </row>
    <row r="22" spans="1:7" ht="23.1" customHeight="1">
      <c r="A22" s="12"/>
      <c r="B22" s="31"/>
      <c r="C22" s="35"/>
      <c r="D22" s="27"/>
      <c r="E22" s="13"/>
      <c r="F22" s="23"/>
      <c r="G22" s="20"/>
    </row>
    <row r="23" spans="1:7" ht="23.1" customHeight="1">
      <c r="A23" s="12"/>
      <c r="B23" s="30"/>
      <c r="C23" s="35"/>
      <c r="D23" s="27"/>
      <c r="E23" s="13"/>
      <c r="F23" s="23"/>
      <c r="G23" s="20"/>
    </row>
    <row r="24" spans="1:7" ht="23.1" customHeight="1">
      <c r="A24" s="12"/>
      <c r="B24" s="31"/>
      <c r="C24" s="35"/>
      <c r="D24" s="27"/>
      <c r="E24" s="13"/>
      <c r="F24" s="23"/>
      <c r="G24" s="20"/>
    </row>
    <row r="25" spans="1:7" ht="23.1" customHeight="1">
      <c r="A25" s="12"/>
      <c r="B25" s="31"/>
      <c r="C25" s="35"/>
      <c r="D25" s="27"/>
      <c r="E25" s="13"/>
      <c r="F25" s="23"/>
      <c r="G25" s="20"/>
    </row>
    <row r="26" spans="1:7" ht="23.1" customHeight="1">
      <c r="A26" s="12"/>
      <c r="B26" s="31"/>
      <c r="C26" s="35"/>
      <c r="D26" s="27"/>
      <c r="E26" s="13"/>
      <c r="F26" s="23"/>
      <c r="G26" s="20"/>
    </row>
    <row r="27" spans="1:7" ht="23.1" customHeight="1">
      <c r="A27" s="12"/>
      <c r="B27" s="31"/>
      <c r="C27" s="35"/>
      <c r="D27" s="27"/>
      <c r="E27" s="13"/>
      <c r="F27" s="23"/>
      <c r="G27" s="20"/>
    </row>
    <row r="28" spans="1:7" ht="23.1" customHeight="1">
      <c r="A28" s="12"/>
      <c r="B28" s="31"/>
      <c r="C28" s="35"/>
      <c r="D28" s="27"/>
      <c r="E28" s="13"/>
      <c r="F28" s="23"/>
      <c r="G28" s="20"/>
    </row>
    <row r="29" spans="1:7" ht="23.1" customHeight="1">
      <c r="A29" s="12"/>
      <c r="B29" s="31"/>
      <c r="C29" s="35"/>
      <c r="D29" s="27"/>
      <c r="E29" s="13"/>
      <c r="F29" s="23"/>
      <c r="G29" s="20"/>
    </row>
    <row r="30" spans="1:7" ht="23.1" customHeight="1">
      <c r="A30" s="12"/>
      <c r="B30" s="32"/>
      <c r="C30" s="34"/>
      <c r="D30" s="26"/>
      <c r="E30" s="13"/>
      <c r="F30" s="23"/>
      <c r="G30" s="20"/>
    </row>
    <row r="31" spans="1:7" ht="23.1" customHeight="1">
      <c r="A31" s="12"/>
      <c r="B31" s="30"/>
      <c r="C31" s="35"/>
      <c r="D31" s="27"/>
      <c r="E31" s="13"/>
      <c r="F31" s="23"/>
      <c r="G31" s="20"/>
    </row>
    <row r="32" spans="1:7" ht="23.1" customHeight="1">
      <c r="A32" s="12"/>
      <c r="B32" s="30"/>
      <c r="C32" s="35"/>
      <c r="D32" s="27"/>
      <c r="E32" s="13"/>
      <c r="F32" s="23"/>
      <c r="G32" s="20"/>
    </row>
    <row r="33" spans="1:7" ht="23.1" customHeight="1">
      <c r="A33" s="12"/>
      <c r="B33" s="30"/>
      <c r="C33" s="35"/>
      <c r="D33" s="27"/>
      <c r="E33" s="13"/>
      <c r="F33" s="23"/>
      <c r="G33" s="20"/>
    </row>
    <row r="34" spans="1:7" ht="23.1" customHeight="1">
      <c r="A34" s="12"/>
      <c r="B34" s="30"/>
      <c r="C34" s="35"/>
      <c r="D34" s="27"/>
      <c r="E34" s="13"/>
      <c r="F34" s="23"/>
      <c r="G34" s="20"/>
    </row>
    <row r="35" spans="1:7" ht="23.1" customHeight="1">
      <c r="A35" s="12"/>
      <c r="B35" s="30"/>
      <c r="C35" s="35"/>
      <c r="D35" s="27"/>
      <c r="E35" s="13"/>
      <c r="F35" s="23"/>
      <c r="G35" s="20"/>
    </row>
    <row r="36" spans="1:7" ht="23.1" customHeight="1">
      <c r="A36" s="12"/>
      <c r="B36" s="30"/>
      <c r="C36" s="35"/>
      <c r="D36" s="27"/>
      <c r="E36" s="13"/>
      <c r="F36" s="23"/>
      <c r="G36" s="20"/>
    </row>
    <row r="37" spans="1:7" ht="23.1" customHeight="1">
      <c r="A37" s="12"/>
      <c r="B37" s="30"/>
      <c r="C37" s="35"/>
      <c r="D37" s="27"/>
      <c r="E37" s="13"/>
      <c r="F37" s="23"/>
      <c r="G37" s="20"/>
    </row>
    <row r="38" spans="1:7" ht="23.1" customHeight="1">
      <c r="A38" s="12"/>
      <c r="B38" s="30"/>
      <c r="C38" s="35"/>
      <c r="D38" s="27"/>
      <c r="E38" s="13"/>
      <c r="F38" s="23"/>
      <c r="G38" s="20"/>
    </row>
    <row r="39" spans="1:7" ht="23.1" customHeight="1">
      <c r="A39" s="12"/>
      <c r="B39" s="30"/>
      <c r="C39" s="35"/>
      <c r="D39" s="27"/>
      <c r="E39" s="13"/>
      <c r="F39" s="23"/>
      <c r="G39" s="20"/>
    </row>
    <row r="40" spans="1:7" ht="23.1" customHeight="1">
      <c r="A40" s="12"/>
      <c r="B40" s="30"/>
      <c r="C40" s="35"/>
      <c r="D40" s="27"/>
      <c r="E40" s="13"/>
      <c r="F40" s="23"/>
      <c r="G40" s="20"/>
    </row>
    <row r="41" spans="1:7" ht="23.1" customHeight="1">
      <c r="A41" s="12"/>
      <c r="B41" s="30"/>
      <c r="C41" s="35"/>
      <c r="D41" s="27"/>
      <c r="E41" s="13"/>
      <c r="F41" s="23"/>
      <c r="G41" s="20"/>
    </row>
    <row r="42" spans="1:7" ht="23.1" customHeight="1">
      <c r="A42" s="12"/>
      <c r="B42" s="30"/>
      <c r="C42" s="35"/>
      <c r="D42" s="27"/>
      <c r="E42" s="13"/>
      <c r="F42" s="23"/>
      <c r="G42" s="20"/>
    </row>
    <row r="43" spans="1:7" ht="23.1" customHeight="1">
      <c r="A43" s="12"/>
      <c r="B43" s="30"/>
      <c r="C43" s="35"/>
      <c r="D43" s="27"/>
      <c r="E43" s="13"/>
      <c r="F43" s="23"/>
      <c r="G43" s="20"/>
    </row>
    <row r="44" spans="1:7" ht="23.1" customHeight="1">
      <c r="A44" s="12"/>
      <c r="B44" s="30"/>
      <c r="C44" s="35"/>
      <c r="D44" s="27"/>
      <c r="E44" s="13"/>
      <c r="F44" s="23"/>
      <c r="G44" s="20"/>
    </row>
    <row r="45" spans="1:7" ht="23.1" customHeight="1">
      <c r="A45" s="12"/>
      <c r="B45" s="30"/>
      <c r="C45" s="35"/>
      <c r="D45" s="27"/>
      <c r="E45" s="13"/>
      <c r="F45" s="23"/>
      <c r="G45" s="20"/>
    </row>
    <row r="46" spans="1:7" ht="23.1" customHeight="1">
      <c r="A46" s="12"/>
      <c r="B46" s="30"/>
      <c r="C46" s="35"/>
      <c r="D46" s="27"/>
      <c r="E46" s="13"/>
      <c r="F46" s="23"/>
      <c r="G46" s="20"/>
    </row>
    <row r="47" spans="1:7" ht="23.1" customHeight="1">
      <c r="A47" s="12"/>
      <c r="B47" s="30"/>
      <c r="C47" s="35"/>
      <c r="D47" s="27"/>
      <c r="E47" s="13"/>
      <c r="F47" s="23"/>
      <c r="G47" s="20"/>
    </row>
    <row r="48" spans="1:7" ht="23.1" customHeight="1" thickBot="1">
      <c r="A48" s="16"/>
      <c r="B48" s="33"/>
      <c r="C48" s="36"/>
      <c r="D48" s="28"/>
      <c r="E48" s="17"/>
      <c r="F48" s="24"/>
      <c r="G48" s="21"/>
    </row>
    <row r="49" spans="1:7" ht="32.450000000000003" customHeight="1" thickBot="1">
      <c r="A49" s="41" t="s">
        <v>30</v>
      </c>
      <c r="B49" s="42"/>
      <c r="C49" s="42"/>
      <c r="D49" s="42"/>
      <c r="E49" s="18">
        <f>SUM($E$12:$E$48)</f>
        <v>14565</v>
      </c>
      <c r="F49" s="43"/>
      <c r="G49" s="44"/>
    </row>
  </sheetData>
  <mergeCells count="14">
    <mergeCell ref="F11:G11"/>
    <mergeCell ref="A49:D49"/>
    <mergeCell ref="F49:G49"/>
    <mergeCell ref="C1:D1"/>
    <mergeCell ref="F3:G3"/>
    <mergeCell ref="F4:G4"/>
    <mergeCell ref="F5:G5"/>
    <mergeCell ref="A7:B7"/>
    <mergeCell ref="A10:A11"/>
    <mergeCell ref="B10:B11"/>
    <mergeCell ref="C10:C11"/>
    <mergeCell ref="E10:E11"/>
    <mergeCell ref="F10:G10"/>
    <mergeCell ref="A1:B1"/>
  </mergeCells>
  <phoneticPr fontId="3"/>
  <printOptions horizontalCentered="1"/>
  <pageMargins left="0.7" right="0.7" top="0.75" bottom="0.75" header="0.3" footer="0.3"/>
  <pageSetup paperSize="9" scale="61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bb1aa6-b4df-4212-96c8-320faacdb022">
      <Terms xmlns="http://schemas.microsoft.com/office/infopath/2007/PartnerControls"/>
    </lcf76f155ced4ddcb4097134ff3c332f>
    <TaxCatchAll xmlns="38e62367-cfba-4f73-ab8d-c322c1d85c1a" xsi:nil="true"/>
    <PublishDate xmlns="a5bb1aa6-b4df-4212-96c8-320faacdb0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41D342A53FBBF40860C21A7C67A81EC" ma:contentTypeVersion="14" ma:contentTypeDescription="新しいドキュメントを作成します。" ma:contentTypeScope="" ma:versionID="5e06ab392c65003cd6c5cf0f8daa881a">
  <xsd:schema xmlns:xsd="http://www.w3.org/2001/XMLSchema" xmlns:xs="http://www.w3.org/2001/XMLSchema" xmlns:p="http://schemas.microsoft.com/office/2006/metadata/properties" xmlns:ns2="a5bb1aa6-b4df-4212-96c8-320faacdb022" xmlns:ns3="38e62367-cfba-4f73-ab8d-c322c1d85c1a" targetNamespace="http://schemas.microsoft.com/office/2006/metadata/properties" ma:root="true" ma:fieldsID="f0199292d1a5d4ea49bc960140b52719" ns2:_="" ns3:_="">
    <xsd:import namespace="a5bb1aa6-b4df-4212-96c8-320faacdb022"/>
    <xsd:import namespace="38e62367-cfba-4f73-ab8d-c322c1d85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PublishDat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b1aa6-b4df-4212-96c8-320faacdb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2872696f-d995-48ee-94ab-d648afa4d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ublishDate" ma:index="19" nillable="true" ma:displayName="発行日" ma:format="DateOnly" ma:internalName="PublishDate">
      <xsd:simpleType>
        <xsd:restriction base="dms:DateTim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62367-cfba-4f73-ab8d-c322c1d85c1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83c447c-a15a-48e5-a4a5-38961afdc000}" ma:internalName="TaxCatchAll" ma:showField="CatchAllData" ma:web="38e62367-cfba-4f73-ab8d-c322c1d85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FFC431-5ECF-4923-871D-0AF8BCC8726A}"/>
</file>

<file path=customXml/itemProps2.xml><?xml version="1.0" encoding="utf-8"?>
<ds:datastoreItem xmlns:ds="http://schemas.openxmlformats.org/officeDocument/2006/customXml" ds:itemID="{45D66455-AE11-4CF2-BEEF-1EE198B32B65}"/>
</file>

<file path=customXml/itemProps3.xml><?xml version="1.0" encoding="utf-8"?>
<ds:datastoreItem xmlns:ds="http://schemas.openxmlformats.org/officeDocument/2006/customXml" ds:itemID="{D6033FBA-9B4E-4EE5-BFF3-34F95023A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松岡 麻美</dc:creator>
  <cp:keywords/>
  <dc:description/>
  <cp:lastModifiedBy/>
  <cp:revision/>
  <dcterms:created xsi:type="dcterms:W3CDTF">2023-08-14T02:38:35Z</dcterms:created>
  <dcterms:modified xsi:type="dcterms:W3CDTF">2026-04-14T08:17:26Z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0x010100141D342A53FBBF40860C21A7C67A81EC</vt:lpwstr>
  </property>
  <property fmtid="{D5CDD505-2E9C-101B-9397-08002B2CF9AE}" pid="3" name="MediaServiceImageTags">
    <vt:lpwstr/>
  </property>
</Properties>
</file>