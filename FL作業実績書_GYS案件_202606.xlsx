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上藤千佳\Documents\勤怠表\"/>
    </mc:Choice>
  </mc:AlternateContent>
  <xr:revisionPtr revIDLastSave="0" documentId="13_ncr:1_{9943E2E8-9846-4A46-B5A1-C35B670541E9}" xr6:coauthVersionLast="47" xr6:coauthVersionMax="47" xr10:uidLastSave="{00000000-0000-0000-0000-000000000000}"/>
  <bookViews>
    <workbookView xWindow="-110" yWindow="-110" windowWidth="19420" windowHeight="10300" xr2:uid="{7267B274-918A-41BE-BF61-037A5AE9F644}"/>
  </bookViews>
  <sheets>
    <sheet name="基本情報" sheetId="2" r:id="rId1"/>
    <sheet name="報告書" sheetId="1" r:id="rId2"/>
  </sheets>
  <definedNames>
    <definedName name="_xlnm.Print_Area" localSheetId="1">報告書!$A$1:$I$44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 l="1"/>
  <c r="C34" i="1"/>
  <c r="D34" i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F35" i="2" s="1"/>
  <c r="B42" i="1" s="1"/>
  <c r="F30" i="2" l="1"/>
  <c r="B37" i="1" s="1"/>
  <c r="F22" i="2"/>
  <c r="B29" i="1" s="1"/>
  <c r="F14" i="2"/>
  <c r="B21" i="1" s="1"/>
  <c r="F6" i="2"/>
  <c r="B13" i="1" s="1"/>
  <c r="F29" i="2"/>
  <c r="B36" i="1" s="1"/>
  <c r="F21" i="2"/>
  <c r="B28" i="1" s="1"/>
  <c r="F13" i="2"/>
  <c r="B20" i="1" s="1"/>
  <c r="F33" i="2"/>
  <c r="B40" i="1" s="1"/>
  <c r="F25" i="2"/>
  <c r="B32" i="1" s="1"/>
  <c r="F17" i="2"/>
  <c r="B24" i="1" s="1"/>
  <c r="F9" i="2"/>
  <c r="B16" i="1" s="1"/>
  <c r="F32" i="2"/>
  <c r="B39" i="1" s="1"/>
  <c r="F24" i="2"/>
  <c r="B31" i="1" s="1"/>
  <c r="F16" i="2"/>
  <c r="B23" i="1" s="1"/>
  <c r="F8" i="2"/>
  <c r="B15" i="1" s="1"/>
  <c r="F31" i="2"/>
  <c r="B38" i="1" s="1"/>
  <c r="F23" i="2"/>
  <c r="B30" i="1" s="1"/>
  <c r="F15" i="2"/>
  <c r="B22" i="1" s="1"/>
  <c r="F7" i="2"/>
  <c r="B14" i="1" s="1"/>
  <c r="F5" i="2"/>
  <c r="B12" i="1" s="1"/>
  <c r="F28" i="2"/>
  <c r="B35" i="1" s="1"/>
  <c r="F20" i="2"/>
  <c r="B27" i="1" s="1"/>
  <c r="F12" i="2"/>
  <c r="B19" i="1" s="1"/>
  <c r="F27" i="2"/>
  <c r="B34" i="1" s="1"/>
  <c r="F19" i="2"/>
  <c r="B26" i="1" s="1"/>
  <c r="F11" i="2"/>
  <c r="B18" i="1" s="1"/>
  <c r="F34" i="2"/>
  <c r="B41" i="1" s="1"/>
  <c r="F26" i="2"/>
  <c r="B33" i="1" s="1"/>
  <c r="F18" i="2"/>
  <c r="B25" i="1" s="1"/>
  <c r="F10" i="2"/>
  <c r="B17" i="1" s="1"/>
  <c r="A12" i="1" l="1"/>
  <c r="C12" i="1"/>
  <c r="D12" i="1"/>
  <c r="Q5" i="2"/>
  <c r="Q6" i="2"/>
  <c r="D16" i="1"/>
  <c r="Q35" i="2" l="1"/>
  <c r="Q34" i="2" l="1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0" i="2"/>
  <c r="Q9" i="2"/>
  <c r="Q8" i="2"/>
  <c r="Q7" i="2"/>
  <c r="Q11" i="2"/>
  <c r="R2" i="2" l="1"/>
  <c r="P2" i="2"/>
  <c r="Q2" i="2"/>
  <c r="T2" i="2" l="1"/>
  <c r="S1" i="2"/>
  <c r="T1" i="2"/>
  <c r="G3" i="1"/>
  <c r="D13" i="1"/>
  <c r="A14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5" i="1"/>
  <c r="C36" i="1"/>
  <c r="C37" i="1"/>
  <c r="C38" i="1"/>
  <c r="C39" i="1"/>
  <c r="C40" i="1"/>
  <c r="C41" i="1"/>
  <c r="C42" i="1"/>
  <c r="C13" i="1"/>
  <c r="D14" i="1"/>
  <c r="D15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B8" i="1" l="1"/>
  <c r="B7" i="1"/>
  <c r="A5" i="1"/>
  <c r="A2" i="1"/>
</calcChain>
</file>

<file path=xl/sharedStrings.xml><?xml version="1.0" encoding="utf-8"?>
<sst xmlns="http://schemas.openxmlformats.org/spreadsheetml/2006/main" count="58" uniqueCount="40">
  <si>
    <t>勤務日数</t>
    <rPh sb="0" eb="2">
      <t>キンム</t>
    </rPh>
    <rPh sb="2" eb="4">
      <t>ニッスウ</t>
    </rPh>
    <phoneticPr fontId="2"/>
  </si>
  <si>
    <t>15日時点の稼働時間</t>
    <rPh sb="2" eb="3">
      <t>ニチ</t>
    </rPh>
    <rPh sb="3" eb="5">
      <t>ジテン</t>
    </rPh>
    <rPh sb="6" eb="8">
      <t>カドウ</t>
    </rPh>
    <rPh sb="8" eb="10">
      <t>ジカン</t>
    </rPh>
    <phoneticPr fontId="2"/>
  </si>
  <si>
    <t>月総労働時間</t>
    <rPh sb="0" eb="1">
      <t>ツキ</t>
    </rPh>
    <rPh sb="1" eb="2">
      <t>ソウ</t>
    </rPh>
    <rPh sb="2" eb="4">
      <t>ロウドウ</t>
    </rPh>
    <rPh sb="4" eb="6">
      <t>ジカン</t>
    </rPh>
    <phoneticPr fontId="2"/>
  </si>
  <si>
    <t>入力項目</t>
    <rPh sb="0" eb="2">
      <t>ニュウリョク</t>
    </rPh>
    <rPh sb="2" eb="4">
      <t>コウモク</t>
    </rPh>
    <phoneticPr fontId="2"/>
  </si>
  <si>
    <t>①</t>
    <phoneticPr fontId="2"/>
  </si>
  <si>
    <t>④</t>
    <phoneticPr fontId="2"/>
  </si>
  <si>
    <t>客先名</t>
    <rPh sb="0" eb="2">
      <t>キャクサキ</t>
    </rPh>
    <rPh sb="2" eb="3">
      <t>メイ</t>
    </rPh>
    <phoneticPr fontId="2"/>
  </si>
  <si>
    <t>日付</t>
    <rPh sb="0" eb="2">
      <t>ヒヅケ</t>
    </rPh>
    <phoneticPr fontId="2"/>
  </si>
  <si>
    <t>曜日</t>
    <rPh sb="0" eb="2">
      <t>ヨウビ</t>
    </rPh>
    <phoneticPr fontId="2"/>
  </si>
  <si>
    <t>出社</t>
    <rPh sb="0" eb="2">
      <t>シュッシャ</t>
    </rPh>
    <phoneticPr fontId="2"/>
  </si>
  <si>
    <t>退社</t>
    <rPh sb="0" eb="2">
      <t>タイシャ</t>
    </rPh>
    <phoneticPr fontId="2"/>
  </si>
  <si>
    <t>休憩(h)</t>
    <rPh sb="0" eb="2">
      <t>キュウケイ</t>
    </rPh>
    <phoneticPr fontId="2"/>
  </si>
  <si>
    <t>作業内容</t>
    <rPh sb="0" eb="2">
      <t>サギョウ</t>
    </rPh>
    <rPh sb="2" eb="4">
      <t>ナイヨウ</t>
    </rPh>
    <phoneticPr fontId="2"/>
  </si>
  <si>
    <t>日毎労働時間</t>
    <rPh sb="0" eb="2">
      <t>ヒゴト</t>
    </rPh>
    <rPh sb="2" eb="4">
      <t>ロウドウ</t>
    </rPh>
    <rPh sb="4" eb="6">
      <t>ジカン</t>
    </rPh>
    <phoneticPr fontId="2"/>
  </si>
  <si>
    <t>プロジェクト名</t>
    <rPh sb="6" eb="7">
      <t>メイ</t>
    </rPh>
    <phoneticPr fontId="2"/>
  </si>
  <si>
    <t>記入要領</t>
    <rPh sb="0" eb="2">
      <t>キニュウ</t>
    </rPh>
    <rPh sb="2" eb="4">
      <t>ヨウリョウ</t>
    </rPh>
    <phoneticPr fontId="2"/>
  </si>
  <si>
    <t>②</t>
    <phoneticPr fontId="2"/>
  </si>
  <si>
    <t>①
客先名：勤務表を提出する顧客を記入
プロジェクト名：参画中のプロジェクト名を記入
②
勤務月：対象月を記入
作業報告者：入力者を記入
　　　　　　※管理責任者の方は不要
管理責任者：FL管理責任者を記入
③
控除：契約の控除時間を記入
超過：契約の超過時間を記入
※固定の場合は記入不要
④
日付：対象月の日付を記入
曜日：対象月の曜日を記入
出社：出社時間を記入
退社：退社時間を記入
休憩：休憩時間を記入
作業内容：実施した作業内容を記入</t>
    <rPh sb="2" eb="4">
      <t>キャクサキ</t>
    </rPh>
    <rPh sb="4" eb="5">
      <t>メイ</t>
    </rPh>
    <rPh sb="6" eb="8">
      <t>キンム</t>
    </rPh>
    <rPh sb="8" eb="9">
      <t>ヒョウ</t>
    </rPh>
    <rPh sb="10" eb="12">
      <t>テイシュツ</t>
    </rPh>
    <rPh sb="14" eb="16">
      <t>コキャク</t>
    </rPh>
    <rPh sb="17" eb="19">
      <t>キニュウ</t>
    </rPh>
    <rPh sb="26" eb="27">
      <t>メイ</t>
    </rPh>
    <rPh sb="28" eb="30">
      <t>サンカク</t>
    </rPh>
    <rPh sb="30" eb="31">
      <t>チュウ</t>
    </rPh>
    <rPh sb="38" eb="39">
      <t>メイ</t>
    </rPh>
    <rPh sb="40" eb="42">
      <t>キニュウ</t>
    </rPh>
    <rPh sb="46" eb="48">
      <t>キンム</t>
    </rPh>
    <rPh sb="48" eb="49">
      <t>ツキ</t>
    </rPh>
    <rPh sb="50" eb="52">
      <t>タイショウ</t>
    </rPh>
    <rPh sb="52" eb="53">
      <t>ツキ</t>
    </rPh>
    <rPh sb="54" eb="56">
      <t>キニュウ</t>
    </rPh>
    <rPh sb="57" eb="59">
      <t>サギョウ</t>
    </rPh>
    <rPh sb="59" eb="62">
      <t>ホウコクシャ</t>
    </rPh>
    <rPh sb="63" eb="65">
      <t>ニュウリョク</t>
    </rPh>
    <rPh sb="65" eb="66">
      <t>シャ</t>
    </rPh>
    <rPh sb="67" eb="69">
      <t>キニュウ</t>
    </rPh>
    <rPh sb="77" eb="79">
      <t>カンリ</t>
    </rPh>
    <rPh sb="79" eb="81">
      <t>セキニン</t>
    </rPh>
    <rPh sb="81" eb="82">
      <t>シャ</t>
    </rPh>
    <rPh sb="83" eb="84">
      <t>カタ</t>
    </rPh>
    <rPh sb="85" eb="87">
      <t>フヨウ</t>
    </rPh>
    <rPh sb="88" eb="90">
      <t>カンリ</t>
    </rPh>
    <rPh sb="90" eb="92">
      <t>セキニン</t>
    </rPh>
    <rPh sb="92" eb="93">
      <t>シャ</t>
    </rPh>
    <rPh sb="96" eb="98">
      <t>カンリ</t>
    </rPh>
    <rPh sb="98" eb="100">
      <t>セキニン</t>
    </rPh>
    <rPh sb="100" eb="101">
      <t>シャ</t>
    </rPh>
    <rPh sb="102" eb="104">
      <t>キニュウ</t>
    </rPh>
    <rPh sb="108" eb="110">
      <t>コウジョ</t>
    </rPh>
    <rPh sb="111" eb="113">
      <t>ケイヤク</t>
    </rPh>
    <rPh sb="114" eb="116">
      <t>コウジョ</t>
    </rPh>
    <rPh sb="116" eb="118">
      <t>ジカン</t>
    </rPh>
    <rPh sb="119" eb="121">
      <t>キニュウ</t>
    </rPh>
    <rPh sb="122" eb="124">
      <t>チョウカ</t>
    </rPh>
    <rPh sb="125" eb="127">
      <t>ケイヤク</t>
    </rPh>
    <rPh sb="128" eb="130">
      <t>チョウカ</t>
    </rPh>
    <rPh sb="130" eb="132">
      <t>ジカン</t>
    </rPh>
    <rPh sb="133" eb="135">
      <t>キニュウ</t>
    </rPh>
    <rPh sb="137" eb="139">
      <t>コテイ</t>
    </rPh>
    <rPh sb="140" eb="142">
      <t>バアイ</t>
    </rPh>
    <rPh sb="143" eb="145">
      <t>キニュウ</t>
    </rPh>
    <rPh sb="145" eb="147">
      <t>フヨウ</t>
    </rPh>
    <rPh sb="151" eb="153">
      <t>ヒヅケ</t>
    </rPh>
    <rPh sb="154" eb="156">
      <t>タイショウ</t>
    </rPh>
    <rPh sb="156" eb="157">
      <t>ツキ</t>
    </rPh>
    <rPh sb="158" eb="160">
      <t>ヒヅケ</t>
    </rPh>
    <rPh sb="161" eb="163">
      <t>キニュウ</t>
    </rPh>
    <rPh sb="164" eb="166">
      <t>ヨウビ</t>
    </rPh>
    <rPh sb="167" eb="169">
      <t>タイショウ</t>
    </rPh>
    <rPh sb="169" eb="170">
      <t>ツキ</t>
    </rPh>
    <rPh sb="171" eb="173">
      <t>ヨウビ</t>
    </rPh>
    <rPh sb="174" eb="176">
      <t>キニュウ</t>
    </rPh>
    <rPh sb="177" eb="179">
      <t>シュッシャ</t>
    </rPh>
    <rPh sb="180" eb="182">
      <t>シュッシャ</t>
    </rPh>
    <rPh sb="182" eb="184">
      <t>ジカン</t>
    </rPh>
    <rPh sb="185" eb="187">
      <t>キニュウ</t>
    </rPh>
    <rPh sb="188" eb="190">
      <t>タイシャ</t>
    </rPh>
    <rPh sb="191" eb="193">
      <t>タイシャ</t>
    </rPh>
    <rPh sb="193" eb="195">
      <t>ジカン</t>
    </rPh>
    <rPh sb="196" eb="198">
      <t>キニュウ</t>
    </rPh>
    <rPh sb="199" eb="201">
      <t>キュウケイ</t>
    </rPh>
    <rPh sb="202" eb="204">
      <t>キュウケイ</t>
    </rPh>
    <rPh sb="204" eb="206">
      <t>ジカン</t>
    </rPh>
    <rPh sb="207" eb="209">
      <t>キニュウ</t>
    </rPh>
    <rPh sb="210" eb="212">
      <t>サギョウ</t>
    </rPh>
    <rPh sb="212" eb="214">
      <t>ナイヨウ</t>
    </rPh>
    <rPh sb="215" eb="217">
      <t>ジッシ</t>
    </rPh>
    <rPh sb="219" eb="221">
      <t>サギョウ</t>
    </rPh>
    <rPh sb="221" eb="223">
      <t>ナイヨウ</t>
    </rPh>
    <rPh sb="224" eb="226">
      <t>キニュウ</t>
    </rPh>
    <phoneticPr fontId="2"/>
  </si>
  <si>
    <t>勤務月</t>
    <rPh sb="0" eb="2">
      <t>キンム</t>
    </rPh>
    <rPh sb="2" eb="3">
      <t>ヅキ</t>
    </rPh>
    <phoneticPr fontId="2"/>
  </si>
  <si>
    <t>作業報告者</t>
    <rPh sb="0" eb="2">
      <t>サギョウ</t>
    </rPh>
    <rPh sb="2" eb="5">
      <t>ホウコクシャ</t>
    </rPh>
    <phoneticPr fontId="2"/>
  </si>
  <si>
    <t>管理責任者</t>
    <rPh sb="0" eb="2">
      <t>カンリ</t>
    </rPh>
    <rPh sb="2" eb="5">
      <t>セキニンシャ</t>
    </rPh>
    <phoneticPr fontId="2"/>
  </si>
  <si>
    <t>③</t>
    <phoneticPr fontId="2"/>
  </si>
  <si>
    <t>標準作業時間</t>
    <rPh sb="0" eb="2">
      <t>ヒョウジュン</t>
    </rPh>
    <rPh sb="2" eb="4">
      <t>サギョウ</t>
    </rPh>
    <rPh sb="4" eb="6">
      <t>ジカン</t>
    </rPh>
    <phoneticPr fontId="2"/>
  </si>
  <si>
    <t>控除</t>
    <rPh sb="0" eb="2">
      <t>コウジョ</t>
    </rPh>
    <phoneticPr fontId="2"/>
  </si>
  <si>
    <t>超過</t>
    <rPh sb="0" eb="2">
      <t>チョウカ</t>
    </rPh>
    <phoneticPr fontId="2"/>
  </si>
  <si>
    <t>作業実績書</t>
    <rPh sb="0" eb="2">
      <t>サギョウ</t>
    </rPh>
    <rPh sb="2" eb="4">
      <t>ジッセキ</t>
    </rPh>
    <rPh sb="4" eb="5">
      <t>ショ</t>
    </rPh>
    <phoneticPr fontId="2"/>
  </si>
  <si>
    <t>会社名</t>
    <rPh sb="0" eb="3">
      <t>カイシャメイ</t>
    </rPh>
    <phoneticPr fontId="2"/>
  </si>
  <si>
    <t>株式会社ファンリード</t>
    <rPh sb="0" eb="4">
      <t>カブシキガイシャ</t>
    </rPh>
    <phoneticPr fontId="2"/>
  </si>
  <si>
    <t>管理責任者</t>
    <rPh sb="0" eb="2">
      <t>カンリ</t>
    </rPh>
    <rPh sb="2" eb="4">
      <t>セキニン</t>
    </rPh>
    <rPh sb="4" eb="5">
      <t>シャ</t>
    </rPh>
    <phoneticPr fontId="2"/>
  </si>
  <si>
    <t>稼働時間</t>
    <rPh sb="0" eb="2">
      <t>カドウ</t>
    </rPh>
    <rPh sb="2" eb="4">
      <t>ジカン</t>
    </rPh>
    <phoneticPr fontId="2"/>
  </si>
  <si>
    <t>超過控除</t>
    <rPh sb="0" eb="2">
      <t>チョウカ</t>
    </rPh>
    <rPh sb="2" eb="4">
      <t>コウジョ</t>
    </rPh>
    <phoneticPr fontId="2"/>
  </si>
  <si>
    <t>ぎょうせい</t>
    <phoneticPr fontId="2"/>
  </si>
  <si>
    <t>新会計システム開発</t>
    <rPh sb="0" eb="3">
      <t>シンカイケイ</t>
    </rPh>
    <rPh sb="7" eb="9">
      <t>カイハツ</t>
    </rPh>
    <phoneticPr fontId="2"/>
  </si>
  <si>
    <t>井上　博勝</t>
    <phoneticPr fontId="2"/>
  </si>
  <si>
    <t>上藤　千佳</t>
    <rPh sb="0" eb="2">
      <t>ウエフジ</t>
    </rPh>
    <rPh sb="3" eb="5">
      <t>チカ</t>
    </rPh>
    <phoneticPr fontId="2"/>
  </si>
  <si>
    <t>帳票説明会（新木場）</t>
    <rPh sb="0" eb="2">
      <t>チョウヒョウ</t>
    </rPh>
    <rPh sb="2" eb="5">
      <t>セツメイカイ</t>
    </rPh>
    <rPh sb="6" eb="9">
      <t>シンキバ</t>
    </rPh>
    <phoneticPr fontId="2"/>
  </si>
  <si>
    <t>PCセットアップ</t>
    <phoneticPr fontId="2"/>
  </si>
  <si>
    <t>業務説明</t>
    <rPh sb="0" eb="4">
      <t>ギョウムセツメイ</t>
    </rPh>
    <phoneticPr fontId="2"/>
  </si>
  <si>
    <t>帳票スケジュール表入力作業</t>
    <rPh sb="0" eb="2">
      <t>チョウヒョウ</t>
    </rPh>
    <rPh sb="8" eb="9">
      <t>ヒョウ</t>
    </rPh>
    <rPh sb="9" eb="13">
      <t>ニュウリョクサギョウ</t>
    </rPh>
    <phoneticPr fontId="2"/>
  </si>
  <si>
    <t>帳票設計書作成</t>
    <rPh sb="0" eb="2">
      <t>チョウヒョウ</t>
    </rPh>
    <rPh sb="2" eb="5">
      <t>セッケイショ</t>
    </rPh>
    <rPh sb="5" eb="7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</si>
</sst>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h]:mm"/>
    <numFmt numFmtId="177" formatCode="h:mm;@"/>
    <numFmt numFmtId="178" formatCode="0.00_ "/>
    <numFmt numFmtId="179" formatCode="0.00_);[Red]\(0.00\)"/>
    <numFmt numFmtId="180" formatCode="aaa"/>
    <numFmt numFmtId="181" formatCode="&quot;¥&quot;#,##0_);[Red]\(&quot;¥&quot;#,##0\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7"/>
      <color rgb="FF444444"/>
      <name val="Meiryo UI"/>
      <family val="3"/>
      <charset val="128"/>
    </font>
    <font>
      <sz val="20"/>
      <color theme="1"/>
      <name val="游ゴシック"/>
      <family val="3"/>
      <charset val="128"/>
      <scheme val="minor"/>
    </font>
    <font>
      <sz val="20"/>
      <color theme="1" tint="4.9989318521683403E-2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20" fontId="0" fillId="0" borderId="0" xfId="0" applyNumberFormat="1">
      <alignment vertical="center"/>
    </xf>
    <xf numFmtId="56" fontId="0" fillId="0" borderId="1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178" fontId="10" fillId="0" borderId="0" xfId="0" applyNumberFormat="1" applyFont="1" applyAlignment="1">
      <alignment horizontal="left" vertical="top"/>
    </xf>
    <xf numFmtId="179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6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3" fillId="0" borderId="3" xfId="0" applyFont="1" applyBorder="1">
      <alignment vertical="center"/>
    </xf>
    <xf numFmtId="181" fontId="0" fillId="0" borderId="1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標準" xfId="0" builtinId="0"/>
  </cellStyles>
  <dxfs count="2"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1187450</xdr:colOff>
      <xdr:row>3</xdr:row>
      <xdr:rowOff>0</xdr:rowOff>
    </xdr:from>
    <xdr:to>
      <xdr:col>21</xdr:col>
      <xdr:colOff>330199</xdr:colOff>
      <xdr:row>30</xdr:row>
      <xdr:rowOff>171450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697F59B-FF1E-46AB-AB23-F4AB7EDBFD13}"/>
            </a:ext>
          </a:extLst>
        </xdr:cNvPr>
        <xdr:cNvSpPr/>
      </xdr:nvSpPr>
      <xdr:spPr>
        <a:xfrm>
          <a:off x="12649200" y="946150"/>
          <a:ext cx="3543299" cy="6369050"/>
        </a:xfrm>
        <a:prstGeom prst="round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056-D4F1-40A1-912E-F5269477C682}">
  <sheetPr>
    <tabColor theme="9" tint="0.59999389629810485"/>
  </sheetPr>
  <dimension ref="B1:U35"/>
  <sheetViews>
    <sheetView showGridLines="0" tabSelected="1" zoomScale="90" zoomScaleNormal="90" workbookViewId="0">
      <pane ySplit="4" topLeftCell="A5" activePane="bottomLeft" state="frozen"/>
      <selection activeCell="B1" sqref="B1"/>
      <selection pane="bottomLeft" activeCell="J34" sqref="J34:O34"/>
    </sheetView>
  </sheetViews>
  <sheetFormatPr defaultRowHeight="18" x14ac:dyDescent="0.55000000000000004"/>
  <cols>
    <col min="1" max="1" width="2.25" customWidth="1"/>
    <col min="2" max="2" width="17.75" customWidth="1"/>
    <col min="3" max="3" width="25.83203125" customWidth="1"/>
    <col min="4" max="4" width="2.83203125" customWidth="1"/>
    <col min="5" max="5" width="8.83203125" bestFit="1" customWidth="1"/>
    <col min="9" max="9" width="11.83203125" customWidth="1"/>
    <col min="10" max="10" width="4.83203125" customWidth="1"/>
    <col min="11" max="11" width="3.75" customWidth="1"/>
    <col min="13" max="13" width="0.33203125" customWidth="1"/>
    <col min="14" max="14" width="5.58203125" customWidth="1"/>
    <col min="15" max="15" width="4.5" customWidth="1"/>
    <col min="16" max="16" width="9.83203125" customWidth="1"/>
    <col min="17" max="17" width="17.33203125" customWidth="1"/>
    <col min="18" max="18" width="19.33203125" bestFit="1" customWidth="1"/>
    <col min="19" max="19" width="15" customWidth="1"/>
    <col min="20" max="20" width="14.58203125" customWidth="1"/>
    <col min="21" max="21" width="8.58203125" customWidth="1"/>
  </cols>
  <sheetData>
    <row r="1" spans="2:21" x14ac:dyDescent="0.55000000000000004">
      <c r="P1" s="2" t="s">
        <v>0</v>
      </c>
      <c r="Q1" s="2" t="s">
        <v>1</v>
      </c>
      <c r="R1" s="2" t="s">
        <v>2</v>
      </c>
      <c r="S1" s="2" t="str">
        <f>IF(C13-R2&lt;0,"下限までの時間","下限を割った時間")</f>
        <v>下限までの時間</v>
      </c>
      <c r="T1" s="26" t="str">
        <f>IF(C14-R2&gt;0,"超過までの時間","超過時間")</f>
        <v>超過時間</v>
      </c>
    </row>
    <row r="2" spans="2:21" ht="38.5" x14ac:dyDescent="0.55000000000000004">
      <c r="B2" s="43" t="s">
        <v>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28">
        <f>COUNT(Q5:Q35)</f>
        <v>16</v>
      </c>
      <c r="Q2" s="25">
        <f>SUM(Q5:Q19)</f>
        <v>1.5624999999999996</v>
      </c>
      <c r="R2" s="25">
        <f>SUM(Q5:Q35)</f>
        <v>5.4166666666666652</v>
      </c>
      <c r="S2" s="27"/>
      <c r="T2" s="27">
        <f>ABS(C14-R2)</f>
        <v>5.4166666666666652</v>
      </c>
    </row>
    <row r="3" spans="2:21" x14ac:dyDescent="0.55000000000000004">
      <c r="B3" t="s">
        <v>4</v>
      </c>
      <c r="E3" t="s">
        <v>5</v>
      </c>
      <c r="U3" s="23"/>
    </row>
    <row r="4" spans="2:21" x14ac:dyDescent="0.55000000000000004">
      <c r="B4" s="2" t="s">
        <v>6</v>
      </c>
      <c r="C4" s="17" t="s">
        <v>31</v>
      </c>
      <c r="E4" s="19" t="s">
        <v>7</v>
      </c>
      <c r="F4" s="19" t="s">
        <v>8</v>
      </c>
      <c r="G4" s="19" t="s">
        <v>9</v>
      </c>
      <c r="H4" s="20" t="s">
        <v>10</v>
      </c>
      <c r="I4" s="20" t="s">
        <v>11</v>
      </c>
      <c r="J4" s="34" t="s">
        <v>12</v>
      </c>
      <c r="K4" s="35"/>
      <c r="L4" s="35"/>
      <c r="M4" s="35"/>
      <c r="N4" s="35"/>
      <c r="O4" s="36"/>
      <c r="P4" s="24"/>
      <c r="Q4" s="19" t="s">
        <v>13</v>
      </c>
    </row>
    <row r="5" spans="2:21" ht="20" x14ac:dyDescent="0.55000000000000004">
      <c r="B5" s="2" t="s">
        <v>14</v>
      </c>
      <c r="C5" s="17" t="s">
        <v>32</v>
      </c>
      <c r="E5" s="21">
        <f>C7</f>
        <v>44712</v>
      </c>
      <c r="F5" s="30">
        <f>E5</f>
        <v>44712</v>
      </c>
      <c r="G5" s="18"/>
      <c r="H5" s="18"/>
      <c r="I5" s="18"/>
      <c r="J5" s="37"/>
      <c r="K5" s="38"/>
      <c r="L5" s="38"/>
      <c r="M5" s="38"/>
      <c r="N5" s="38"/>
      <c r="O5" s="39"/>
      <c r="P5" s="24"/>
      <c r="Q5" s="18" t="str">
        <f t="shared" ref="Q5:Q8" si="0">IF(OR(G5="",H5=""),"",(H5-G5-I5))</f>
        <v/>
      </c>
      <c r="R5" s="22"/>
      <c r="S5" s="40" t="s">
        <v>15</v>
      </c>
      <c r="T5" s="41"/>
      <c r="U5" s="41"/>
    </row>
    <row r="6" spans="2:21" ht="18" customHeight="1" x14ac:dyDescent="0.55000000000000004">
      <c r="B6" t="s">
        <v>16</v>
      </c>
      <c r="E6" s="21">
        <f>IF(E5="","",IF(MONTH(E5+1)=MONTH(E5),E5+1,""))</f>
        <v>44713</v>
      </c>
      <c r="F6" s="30">
        <f t="shared" ref="F6:F35" si="1">E6</f>
        <v>44713</v>
      </c>
      <c r="G6" s="18"/>
      <c r="H6" s="18"/>
      <c r="I6" s="18"/>
      <c r="J6" s="37"/>
      <c r="K6" s="38"/>
      <c r="L6" s="38"/>
      <c r="M6" s="38"/>
      <c r="N6" s="38"/>
      <c r="O6" s="39"/>
      <c r="P6" s="9"/>
      <c r="Q6" s="18" t="str">
        <f t="shared" si="0"/>
        <v/>
      </c>
      <c r="R6" s="22"/>
      <c r="S6" s="42" t="s">
        <v>17</v>
      </c>
      <c r="T6" s="42"/>
      <c r="U6" s="42"/>
    </row>
    <row r="7" spans="2:21" ht="18" customHeight="1" x14ac:dyDescent="0.55000000000000004">
      <c r="B7" s="2" t="s">
        <v>18</v>
      </c>
      <c r="C7" s="29">
        <v>44712</v>
      </c>
      <c r="D7" s="3"/>
      <c r="E7" s="21">
        <f t="shared" ref="E7:E35" si="2">IF(E6="","",IF(MONTH(E6+1)=MONTH(E6),E6+1,""))</f>
        <v>44714</v>
      </c>
      <c r="F7" s="30">
        <f t="shared" si="1"/>
        <v>44714</v>
      </c>
      <c r="G7" s="18"/>
      <c r="H7" s="18"/>
      <c r="I7" s="18"/>
      <c r="J7" s="37"/>
      <c r="K7" s="38"/>
      <c r="L7" s="38"/>
      <c r="M7" s="38"/>
      <c r="N7" s="38"/>
      <c r="O7" s="39"/>
      <c r="P7" s="9"/>
      <c r="Q7" s="18" t="str">
        <f t="shared" si="0"/>
        <v/>
      </c>
      <c r="R7" s="22"/>
      <c r="S7" s="42"/>
      <c r="T7" s="42"/>
      <c r="U7" s="42"/>
    </row>
    <row r="8" spans="2:21" x14ac:dyDescent="0.55000000000000004">
      <c r="B8" s="2" t="s">
        <v>19</v>
      </c>
      <c r="C8" s="17" t="s">
        <v>34</v>
      </c>
      <c r="E8" s="21">
        <f t="shared" si="2"/>
        <v>44715</v>
      </c>
      <c r="F8" s="30">
        <f t="shared" si="1"/>
        <v>44715</v>
      </c>
      <c r="G8" s="18"/>
      <c r="H8" s="18"/>
      <c r="I8" s="18"/>
      <c r="J8" s="37"/>
      <c r="K8" s="38"/>
      <c r="L8" s="38"/>
      <c r="M8" s="38"/>
      <c r="N8" s="38"/>
      <c r="O8" s="39"/>
      <c r="P8" s="9"/>
      <c r="Q8" s="18" t="str">
        <f t="shared" si="0"/>
        <v/>
      </c>
      <c r="R8" s="22"/>
      <c r="S8" s="42"/>
      <c r="T8" s="42"/>
      <c r="U8" s="42"/>
    </row>
    <row r="9" spans="2:21" x14ac:dyDescent="0.55000000000000004">
      <c r="B9" s="2"/>
      <c r="C9" s="17"/>
      <c r="E9" s="21">
        <f t="shared" si="2"/>
        <v>44716</v>
      </c>
      <c r="F9" s="30">
        <f t="shared" si="1"/>
        <v>44716</v>
      </c>
      <c r="G9" s="18"/>
      <c r="H9" s="18"/>
      <c r="I9" s="18"/>
      <c r="J9" s="37"/>
      <c r="K9" s="38"/>
      <c r="L9" s="38"/>
      <c r="M9" s="38"/>
      <c r="N9" s="38"/>
      <c r="O9" s="39"/>
      <c r="P9" s="9"/>
      <c r="Q9" s="18" t="str">
        <f t="shared" ref="Q9:Q14" si="3">IF(OR(G9="",H9=""),"",(H9-G9-I9))</f>
        <v/>
      </c>
      <c r="R9" s="22"/>
      <c r="S9" s="42"/>
      <c r="T9" s="42"/>
      <c r="U9" s="42"/>
    </row>
    <row r="10" spans="2:21" x14ac:dyDescent="0.55000000000000004">
      <c r="B10" s="2" t="s">
        <v>20</v>
      </c>
      <c r="C10" s="17" t="s">
        <v>33</v>
      </c>
      <c r="E10" s="21">
        <f t="shared" si="2"/>
        <v>44717</v>
      </c>
      <c r="F10" s="30">
        <f t="shared" si="1"/>
        <v>44717</v>
      </c>
      <c r="G10" s="18"/>
      <c r="H10" s="18"/>
      <c r="I10" s="18"/>
      <c r="J10" s="37"/>
      <c r="K10" s="38"/>
      <c r="L10" s="38"/>
      <c r="M10" s="38"/>
      <c r="N10" s="38"/>
      <c r="O10" s="39"/>
      <c r="P10" s="9"/>
      <c r="Q10" s="18" t="str">
        <f t="shared" si="3"/>
        <v/>
      </c>
      <c r="R10" s="22"/>
      <c r="S10" s="42"/>
      <c r="T10" s="42"/>
      <c r="U10" s="42"/>
    </row>
    <row r="11" spans="2:21" ht="18" customHeight="1" x14ac:dyDescent="0.55000000000000004">
      <c r="B11" t="s">
        <v>21</v>
      </c>
      <c r="E11" s="21">
        <f t="shared" si="2"/>
        <v>44718</v>
      </c>
      <c r="F11" s="30">
        <f t="shared" si="1"/>
        <v>44718</v>
      </c>
      <c r="G11" s="18"/>
      <c r="H11" s="18"/>
      <c r="I11" s="18"/>
      <c r="J11" s="37"/>
      <c r="K11" s="38"/>
      <c r="L11" s="38"/>
      <c r="M11" s="38"/>
      <c r="N11" s="38"/>
      <c r="O11" s="39"/>
      <c r="P11" s="9"/>
      <c r="Q11" s="18" t="str">
        <f t="shared" si="3"/>
        <v/>
      </c>
      <c r="R11" s="22"/>
      <c r="S11" s="42"/>
      <c r="T11" s="42"/>
      <c r="U11" s="42"/>
    </row>
    <row r="12" spans="2:21" ht="18" customHeight="1" x14ac:dyDescent="0.55000000000000004">
      <c r="B12" t="s">
        <v>22</v>
      </c>
      <c r="E12" s="21">
        <f t="shared" si="2"/>
        <v>44719</v>
      </c>
      <c r="F12" s="30">
        <f t="shared" si="1"/>
        <v>44719</v>
      </c>
      <c r="G12" s="18"/>
      <c r="H12" s="18"/>
      <c r="I12" s="18"/>
      <c r="J12" s="37"/>
      <c r="K12" s="38"/>
      <c r="L12" s="38"/>
      <c r="M12" s="38"/>
      <c r="N12" s="38"/>
      <c r="O12" s="39"/>
      <c r="P12" s="9"/>
      <c r="Q12" s="18" t="str">
        <f t="shared" si="3"/>
        <v/>
      </c>
      <c r="R12" s="22"/>
      <c r="S12" s="42"/>
      <c r="T12" s="42"/>
      <c r="U12" s="42"/>
    </row>
    <row r="13" spans="2:21" ht="18" customHeight="1" x14ac:dyDescent="0.55000000000000004">
      <c r="B13" s="12" t="s">
        <v>23</v>
      </c>
      <c r="C13" s="33"/>
      <c r="E13" s="21">
        <f t="shared" si="2"/>
        <v>44720</v>
      </c>
      <c r="F13" s="30">
        <f t="shared" si="1"/>
        <v>44720</v>
      </c>
      <c r="G13" s="18">
        <v>0.39583333333333331</v>
      </c>
      <c r="H13" s="18">
        <v>0.75</v>
      </c>
      <c r="I13" s="18">
        <v>4.1666666666666803E-2</v>
      </c>
      <c r="J13" s="37" t="s">
        <v>36</v>
      </c>
      <c r="K13" s="38"/>
      <c r="L13" s="38"/>
      <c r="M13" s="38"/>
      <c r="N13" s="38"/>
      <c r="O13" s="39"/>
      <c r="P13" s="9"/>
      <c r="Q13" s="18">
        <f t="shared" si="3"/>
        <v>0.31249999999999989</v>
      </c>
      <c r="R13" s="22"/>
      <c r="S13" s="42"/>
      <c r="T13" s="42"/>
      <c r="U13" s="42"/>
    </row>
    <row r="14" spans="2:21" x14ac:dyDescent="0.55000000000000004">
      <c r="B14" s="12" t="s">
        <v>24</v>
      </c>
      <c r="C14" s="33"/>
      <c r="E14" s="21">
        <f t="shared" si="2"/>
        <v>44721</v>
      </c>
      <c r="F14" s="30">
        <f t="shared" si="1"/>
        <v>44721</v>
      </c>
      <c r="G14" s="18">
        <v>0.39583333333333331</v>
      </c>
      <c r="H14" s="18">
        <v>0.75</v>
      </c>
      <c r="I14" s="18">
        <v>4.1666666666666803E-2</v>
      </c>
      <c r="J14" s="37" t="s">
        <v>37</v>
      </c>
      <c r="K14" s="38"/>
      <c r="L14" s="38"/>
      <c r="M14" s="38"/>
      <c r="N14" s="38"/>
      <c r="O14" s="39"/>
      <c r="P14" s="9"/>
      <c r="Q14" s="18">
        <f t="shared" si="3"/>
        <v>0.31249999999999989</v>
      </c>
      <c r="R14" s="22"/>
      <c r="S14" s="42"/>
      <c r="T14" s="42"/>
      <c r="U14" s="42"/>
    </row>
    <row r="15" spans="2:21" x14ac:dyDescent="0.55000000000000004">
      <c r="E15" s="21">
        <f t="shared" si="2"/>
        <v>44722</v>
      </c>
      <c r="F15" s="30">
        <f t="shared" si="1"/>
        <v>44722</v>
      </c>
      <c r="G15" s="18">
        <v>0.39583333333333331</v>
      </c>
      <c r="H15" s="18">
        <v>0.75</v>
      </c>
      <c r="I15" s="18">
        <v>4.1666666666666803E-2</v>
      </c>
      <c r="J15" s="37" t="s">
        <v>35</v>
      </c>
      <c r="K15" s="38"/>
      <c r="L15" s="38"/>
      <c r="M15" s="38"/>
      <c r="N15" s="38"/>
      <c r="O15" s="39"/>
      <c r="P15" s="9"/>
      <c r="Q15" s="18">
        <f t="shared" ref="Q15:Q34" si="4">IF(OR(G15="",H15=""),"",(H15-G15-I15))</f>
        <v>0.31249999999999989</v>
      </c>
      <c r="R15" s="22"/>
      <c r="S15" s="42"/>
      <c r="T15" s="42"/>
      <c r="U15" s="42"/>
    </row>
    <row r="16" spans="2:21" x14ac:dyDescent="0.55000000000000004">
      <c r="E16" s="21">
        <f t="shared" si="2"/>
        <v>44723</v>
      </c>
      <c r="F16" s="30">
        <f t="shared" si="1"/>
        <v>44723</v>
      </c>
      <c r="G16" s="18">
        <v>0.39583333333333331</v>
      </c>
      <c r="H16" s="18">
        <v>0.75</v>
      </c>
      <c r="I16" s="18">
        <v>4.1666666666666803E-2</v>
      </c>
      <c r="J16" s="37" t="s">
        <v>38</v>
      </c>
      <c r="K16" s="38"/>
      <c r="L16" s="38"/>
      <c r="M16" s="38"/>
      <c r="N16" s="38"/>
      <c r="O16" s="39"/>
      <c r="P16" s="9"/>
      <c r="Q16" s="18">
        <f t="shared" si="4"/>
        <v>0.31249999999999989</v>
      </c>
      <c r="R16" s="22"/>
      <c r="S16" s="42"/>
      <c r="T16" s="42"/>
      <c r="U16" s="42"/>
    </row>
    <row r="17" spans="5:21" x14ac:dyDescent="0.55000000000000004">
      <c r="E17" s="21">
        <f t="shared" si="2"/>
        <v>44724</v>
      </c>
      <c r="F17" s="30">
        <f t="shared" si="1"/>
        <v>44724</v>
      </c>
      <c r="G17" s="18"/>
      <c r="H17" s="18"/>
      <c r="I17" s="18"/>
      <c r="J17" s="37"/>
      <c r="K17" s="38"/>
      <c r="L17" s="38"/>
      <c r="M17" s="38"/>
      <c r="N17" s="38"/>
      <c r="O17" s="39"/>
      <c r="P17" s="9"/>
      <c r="Q17" s="18" t="str">
        <f t="shared" si="4"/>
        <v/>
      </c>
      <c r="R17" s="22"/>
      <c r="S17" s="42"/>
      <c r="T17" s="42"/>
      <c r="U17" s="42"/>
    </row>
    <row r="18" spans="5:21" ht="18" customHeight="1" x14ac:dyDescent="0.55000000000000004">
      <c r="E18" s="21">
        <f t="shared" si="2"/>
        <v>44725</v>
      </c>
      <c r="F18" s="30">
        <f t="shared" si="1"/>
        <v>44725</v>
      </c>
      <c r="G18" s="18"/>
      <c r="H18" s="18"/>
      <c r="I18" s="18"/>
      <c r="J18" s="37"/>
      <c r="K18" s="38"/>
      <c r="L18" s="38"/>
      <c r="M18" s="38"/>
      <c r="N18" s="38"/>
      <c r="O18" s="39"/>
      <c r="P18" s="9"/>
      <c r="Q18" s="18" t="str">
        <f t="shared" si="4"/>
        <v/>
      </c>
      <c r="R18" s="22"/>
      <c r="S18" s="42"/>
      <c r="T18" s="42"/>
      <c r="U18" s="42"/>
    </row>
    <row r="19" spans="5:21" ht="18" customHeight="1" x14ac:dyDescent="0.55000000000000004">
      <c r="E19" s="21">
        <f t="shared" si="2"/>
        <v>44726</v>
      </c>
      <c r="F19" s="30">
        <f t="shared" si="1"/>
        <v>44726</v>
      </c>
      <c r="G19" s="18">
        <v>0.39583333333333331</v>
      </c>
      <c r="H19" s="18">
        <v>0.75</v>
      </c>
      <c r="I19" s="18">
        <v>4.1666666666666803E-2</v>
      </c>
      <c r="J19" s="37" t="s">
        <v>38</v>
      </c>
      <c r="K19" s="38"/>
      <c r="L19" s="38"/>
      <c r="M19" s="38"/>
      <c r="N19" s="38"/>
      <c r="O19" s="39"/>
      <c r="P19" s="9"/>
      <c r="Q19" s="18">
        <f t="shared" si="4"/>
        <v>0.31249999999999989</v>
      </c>
      <c r="R19" s="22"/>
      <c r="S19" s="42"/>
      <c r="T19" s="42"/>
      <c r="U19" s="42"/>
    </row>
    <row r="20" spans="5:21" ht="18" customHeight="1" x14ac:dyDescent="0.55000000000000004">
      <c r="E20" s="21">
        <f t="shared" si="2"/>
        <v>44727</v>
      </c>
      <c r="F20" s="30">
        <f t="shared" si="1"/>
        <v>44727</v>
      </c>
      <c r="G20" s="18">
        <v>0.39583333333333331</v>
      </c>
      <c r="H20" s="18">
        <v>0.79166666666666663</v>
      </c>
      <c r="I20" s="18">
        <v>4.1666666666666803E-2</v>
      </c>
      <c r="J20" s="37" t="s">
        <v>39</v>
      </c>
      <c r="K20" s="38"/>
      <c r="L20" s="38"/>
      <c r="M20" s="38"/>
      <c r="N20" s="38"/>
      <c r="O20" s="39"/>
      <c r="P20" s="9"/>
      <c r="Q20" s="18">
        <f t="shared" si="4"/>
        <v>0.35416666666666652</v>
      </c>
      <c r="R20" s="22"/>
      <c r="S20" s="42"/>
      <c r="T20" s="42"/>
      <c r="U20" s="42"/>
    </row>
    <row r="21" spans="5:21" x14ac:dyDescent="0.55000000000000004">
      <c r="E21" s="21">
        <f t="shared" si="2"/>
        <v>44728</v>
      </c>
      <c r="F21" s="30">
        <f t="shared" si="1"/>
        <v>44728</v>
      </c>
      <c r="G21" s="18">
        <v>0.39583333333333331</v>
      </c>
      <c r="H21" s="18">
        <v>0.79166666666666663</v>
      </c>
      <c r="I21" s="18">
        <v>4.1666666666666803E-2</v>
      </c>
      <c r="J21" s="37" t="s">
        <v>39</v>
      </c>
      <c r="K21" s="38"/>
      <c r="L21" s="38"/>
      <c r="M21" s="38"/>
      <c r="N21" s="38"/>
      <c r="O21" s="39"/>
      <c r="P21" s="9"/>
      <c r="Q21" s="18">
        <f t="shared" si="4"/>
        <v>0.35416666666666652</v>
      </c>
      <c r="S21" s="42"/>
      <c r="T21" s="42"/>
      <c r="U21" s="42"/>
    </row>
    <row r="22" spans="5:21" x14ac:dyDescent="0.55000000000000004">
      <c r="E22" s="21">
        <f t="shared" si="2"/>
        <v>44729</v>
      </c>
      <c r="F22" s="30">
        <f t="shared" si="1"/>
        <v>44729</v>
      </c>
      <c r="G22" s="18">
        <v>0.39583333333333331</v>
      </c>
      <c r="H22" s="18">
        <v>0.80208333333333337</v>
      </c>
      <c r="I22" s="18">
        <v>4.1666666666666803E-2</v>
      </c>
      <c r="J22" s="37" t="s">
        <v>35</v>
      </c>
      <c r="K22" s="38"/>
      <c r="L22" s="38"/>
      <c r="M22" s="38"/>
      <c r="N22" s="38"/>
      <c r="O22" s="39"/>
      <c r="P22" s="9"/>
      <c r="Q22" s="18">
        <f t="shared" si="4"/>
        <v>0.36458333333333326</v>
      </c>
      <c r="S22" s="42"/>
      <c r="T22" s="42"/>
      <c r="U22" s="42"/>
    </row>
    <row r="23" spans="5:21" x14ac:dyDescent="0.55000000000000004">
      <c r="E23" s="21">
        <f t="shared" si="2"/>
        <v>44730</v>
      </c>
      <c r="F23" s="30">
        <f t="shared" si="1"/>
        <v>44730</v>
      </c>
      <c r="G23" s="18">
        <v>0.39583333333333331</v>
      </c>
      <c r="H23" s="18">
        <v>0.79166666666666663</v>
      </c>
      <c r="I23" s="18">
        <v>4.1666666666666803E-2</v>
      </c>
      <c r="J23" s="37" t="s">
        <v>39</v>
      </c>
      <c r="K23" s="38"/>
      <c r="L23" s="38"/>
      <c r="M23" s="38"/>
      <c r="N23" s="38"/>
      <c r="O23" s="39"/>
      <c r="P23" s="9"/>
      <c r="Q23" s="18">
        <f t="shared" si="4"/>
        <v>0.35416666666666652</v>
      </c>
      <c r="S23" s="42"/>
      <c r="T23" s="42"/>
      <c r="U23" s="42"/>
    </row>
    <row r="24" spans="5:21" x14ac:dyDescent="0.55000000000000004">
      <c r="E24" s="21">
        <f t="shared" si="2"/>
        <v>44731</v>
      </c>
      <c r="F24" s="30">
        <f t="shared" si="1"/>
        <v>44731</v>
      </c>
      <c r="G24" s="18"/>
      <c r="H24" s="18"/>
      <c r="I24" s="18"/>
      <c r="J24" s="37"/>
      <c r="K24" s="38"/>
      <c r="L24" s="38"/>
      <c r="M24" s="38"/>
      <c r="N24" s="38"/>
      <c r="O24" s="39"/>
      <c r="P24" s="9"/>
      <c r="Q24" s="18" t="str">
        <f t="shared" si="4"/>
        <v/>
      </c>
      <c r="S24" s="42"/>
      <c r="T24" s="42"/>
      <c r="U24" s="42"/>
    </row>
    <row r="25" spans="5:21" x14ac:dyDescent="0.55000000000000004">
      <c r="E25" s="21">
        <f t="shared" si="2"/>
        <v>44732</v>
      </c>
      <c r="F25" s="30">
        <f t="shared" si="1"/>
        <v>44732</v>
      </c>
      <c r="G25" s="18"/>
      <c r="H25" s="18"/>
      <c r="I25" s="18"/>
      <c r="J25" s="37"/>
      <c r="K25" s="38"/>
      <c r="L25" s="38"/>
      <c r="M25" s="38"/>
      <c r="N25" s="38"/>
      <c r="O25" s="39"/>
      <c r="P25" s="9"/>
      <c r="Q25" s="18" t="str">
        <f t="shared" si="4"/>
        <v/>
      </c>
      <c r="S25" s="42"/>
      <c r="T25" s="42"/>
      <c r="U25" s="42"/>
    </row>
    <row r="26" spans="5:21" x14ac:dyDescent="0.55000000000000004">
      <c r="E26" s="21">
        <f t="shared" si="2"/>
        <v>44733</v>
      </c>
      <c r="F26" s="30">
        <f t="shared" si="1"/>
        <v>44733</v>
      </c>
      <c r="G26" s="18">
        <v>0.39583333333333331</v>
      </c>
      <c r="H26" s="18">
        <v>0.79166666666666663</v>
      </c>
      <c r="I26" s="18">
        <v>4.1666666666666803E-2</v>
      </c>
      <c r="J26" s="37" t="s">
        <v>39</v>
      </c>
      <c r="K26" s="38"/>
      <c r="L26" s="38"/>
      <c r="M26" s="38"/>
      <c r="N26" s="38"/>
      <c r="O26" s="39"/>
      <c r="P26" s="9"/>
      <c r="Q26" s="18">
        <f t="shared" si="4"/>
        <v>0.35416666666666652</v>
      </c>
      <c r="S26" s="42"/>
      <c r="T26" s="42"/>
      <c r="U26" s="42"/>
    </row>
    <row r="27" spans="5:21" x14ac:dyDescent="0.55000000000000004">
      <c r="E27" s="21">
        <f t="shared" si="2"/>
        <v>44734</v>
      </c>
      <c r="F27" s="30">
        <f t="shared" si="1"/>
        <v>44734</v>
      </c>
      <c r="G27" s="18">
        <v>0.39583333333333331</v>
      </c>
      <c r="H27" s="18">
        <v>0.79166666666666663</v>
      </c>
      <c r="I27" s="18">
        <v>4.1666666666666803E-2</v>
      </c>
      <c r="J27" s="37" t="s">
        <v>39</v>
      </c>
      <c r="K27" s="38"/>
      <c r="L27" s="38"/>
      <c r="M27" s="38"/>
      <c r="N27" s="38"/>
      <c r="O27" s="39"/>
      <c r="P27" s="9"/>
      <c r="Q27" s="18">
        <f t="shared" si="4"/>
        <v>0.35416666666666652</v>
      </c>
      <c r="S27" s="42"/>
      <c r="T27" s="42"/>
      <c r="U27" s="42"/>
    </row>
    <row r="28" spans="5:21" x14ac:dyDescent="0.55000000000000004">
      <c r="E28" s="21">
        <f t="shared" si="2"/>
        <v>44735</v>
      </c>
      <c r="F28" s="30">
        <f t="shared" si="1"/>
        <v>44735</v>
      </c>
      <c r="G28" s="18">
        <v>0.39583333333333331</v>
      </c>
      <c r="H28" s="18">
        <v>0.80208333333333337</v>
      </c>
      <c r="I28" s="18">
        <v>4.1666666666666803E-2</v>
      </c>
      <c r="J28" s="37" t="s">
        <v>39</v>
      </c>
      <c r="K28" s="38"/>
      <c r="L28" s="38"/>
      <c r="M28" s="38"/>
      <c r="N28" s="38"/>
      <c r="O28" s="39"/>
      <c r="P28" s="9"/>
      <c r="Q28" s="18">
        <f t="shared" si="4"/>
        <v>0.36458333333333326</v>
      </c>
      <c r="S28" s="42"/>
      <c r="T28" s="42"/>
      <c r="U28" s="42"/>
    </row>
    <row r="29" spans="5:21" x14ac:dyDescent="0.55000000000000004">
      <c r="E29" s="21">
        <f t="shared" si="2"/>
        <v>44736</v>
      </c>
      <c r="F29" s="30">
        <f t="shared" si="1"/>
        <v>44736</v>
      </c>
      <c r="G29" s="18">
        <v>0.39583333333333331</v>
      </c>
      <c r="H29" s="18">
        <v>0.83333333333333337</v>
      </c>
      <c r="I29" s="18">
        <v>4.1666666666666803E-2</v>
      </c>
      <c r="J29" s="37" t="s">
        <v>35</v>
      </c>
      <c r="K29" s="38"/>
      <c r="L29" s="38"/>
      <c r="M29" s="38"/>
      <c r="N29" s="38"/>
      <c r="O29" s="39"/>
      <c r="P29" s="9"/>
      <c r="Q29" s="18">
        <f t="shared" si="4"/>
        <v>0.39583333333333326</v>
      </c>
      <c r="S29" s="42"/>
      <c r="T29" s="42"/>
      <c r="U29" s="42"/>
    </row>
    <row r="30" spans="5:21" x14ac:dyDescent="0.55000000000000004">
      <c r="E30" s="21">
        <f t="shared" si="2"/>
        <v>44737</v>
      </c>
      <c r="F30" s="30">
        <f t="shared" si="1"/>
        <v>44737</v>
      </c>
      <c r="G30" s="18">
        <v>0.39583333333333331</v>
      </c>
      <c r="H30" s="18">
        <v>0.75</v>
      </c>
      <c r="I30" s="18">
        <v>4.1666666666666803E-2</v>
      </c>
      <c r="J30" s="37" t="s">
        <v>39</v>
      </c>
      <c r="K30" s="38"/>
      <c r="L30" s="38"/>
      <c r="M30" s="38"/>
      <c r="N30" s="38"/>
      <c r="O30" s="39"/>
      <c r="P30" s="9"/>
      <c r="Q30" s="18">
        <f>IF(OR(G30="",H30=""),"",(H30-G30-I30))</f>
        <v>0.31249999999999989</v>
      </c>
    </row>
    <row r="31" spans="5:21" x14ac:dyDescent="0.55000000000000004">
      <c r="E31" s="21">
        <f t="shared" si="2"/>
        <v>44738</v>
      </c>
      <c r="F31" s="30">
        <f t="shared" si="1"/>
        <v>44738</v>
      </c>
      <c r="G31" s="18"/>
      <c r="H31" s="18"/>
      <c r="I31" s="18"/>
      <c r="J31" s="37"/>
      <c r="K31" s="38"/>
      <c r="L31" s="38"/>
      <c r="M31" s="38"/>
      <c r="N31" s="38"/>
      <c r="O31" s="39"/>
      <c r="P31" s="9"/>
      <c r="Q31" s="18" t="str">
        <f t="shared" si="4"/>
        <v/>
      </c>
    </row>
    <row r="32" spans="5:21" x14ac:dyDescent="0.55000000000000004">
      <c r="E32" s="21">
        <f t="shared" si="2"/>
        <v>44739</v>
      </c>
      <c r="F32" s="30">
        <f t="shared" si="1"/>
        <v>44739</v>
      </c>
      <c r="G32" s="18"/>
      <c r="H32" s="18"/>
      <c r="I32" s="18"/>
      <c r="J32" s="37"/>
      <c r="K32" s="38"/>
      <c r="L32" s="38"/>
      <c r="M32" s="38"/>
      <c r="N32" s="38"/>
      <c r="O32" s="39"/>
      <c r="P32" s="9"/>
      <c r="Q32" s="18" t="str">
        <f t="shared" si="4"/>
        <v/>
      </c>
    </row>
    <row r="33" spans="5:17" x14ac:dyDescent="0.55000000000000004">
      <c r="E33" s="21">
        <f t="shared" si="2"/>
        <v>44740</v>
      </c>
      <c r="F33" s="30">
        <f t="shared" si="1"/>
        <v>44740</v>
      </c>
      <c r="G33" s="18">
        <v>0.39583333333333331</v>
      </c>
      <c r="H33" s="18">
        <v>0.77083333333333337</v>
      </c>
      <c r="I33" s="18">
        <v>4.1666666666666803E-2</v>
      </c>
      <c r="J33" s="37" t="s">
        <v>39</v>
      </c>
      <c r="K33" s="38"/>
      <c r="L33" s="38"/>
      <c r="M33" s="38"/>
      <c r="N33" s="38"/>
      <c r="O33" s="39"/>
      <c r="P33" s="9"/>
      <c r="Q33" s="18">
        <f t="shared" si="4"/>
        <v>0.33333333333333326</v>
      </c>
    </row>
    <row r="34" spans="5:17" x14ac:dyDescent="0.55000000000000004">
      <c r="E34" s="21">
        <f t="shared" si="2"/>
        <v>44741</v>
      </c>
      <c r="F34" s="30">
        <f t="shared" si="1"/>
        <v>44741</v>
      </c>
      <c r="G34" s="18">
        <v>0.39583333333333331</v>
      </c>
      <c r="H34" s="18">
        <v>0.75</v>
      </c>
      <c r="I34" s="18">
        <v>4.1666666666666803E-2</v>
      </c>
      <c r="J34" s="37" t="s">
        <v>39</v>
      </c>
      <c r="K34" s="38"/>
      <c r="L34" s="38"/>
      <c r="M34" s="38"/>
      <c r="N34" s="38"/>
      <c r="O34" s="39"/>
      <c r="P34" s="9"/>
      <c r="Q34" s="18">
        <f t="shared" si="4"/>
        <v>0.31249999999999989</v>
      </c>
    </row>
    <row r="35" spans="5:17" x14ac:dyDescent="0.55000000000000004">
      <c r="E35" s="21" t="str">
        <f t="shared" si="2"/>
        <v/>
      </c>
      <c r="F35" s="30" t="str">
        <f t="shared" si="1"/>
        <v/>
      </c>
      <c r="G35" s="18"/>
      <c r="H35" s="18"/>
      <c r="I35" s="18"/>
      <c r="J35" s="37"/>
      <c r="K35" s="38"/>
      <c r="L35" s="38"/>
      <c r="M35" s="38"/>
      <c r="N35" s="38"/>
      <c r="O35" s="39"/>
      <c r="P35" s="9"/>
      <c r="Q35" s="18" t="str">
        <f>IF(OR(G35="",H35=""),"",(H35-G35-I35))</f>
        <v/>
      </c>
    </row>
  </sheetData>
  <mergeCells count="35">
    <mergeCell ref="J35:O35"/>
    <mergeCell ref="B2:O2"/>
    <mergeCell ref="J29:O29"/>
    <mergeCell ref="J30:O30"/>
    <mergeCell ref="J31:O31"/>
    <mergeCell ref="J32:O32"/>
    <mergeCell ref="J33:O33"/>
    <mergeCell ref="J34:O34"/>
    <mergeCell ref="J23:O23"/>
    <mergeCell ref="J24:O24"/>
    <mergeCell ref="J25:O25"/>
    <mergeCell ref="J26:O26"/>
    <mergeCell ref="J27:O27"/>
    <mergeCell ref="J28:O28"/>
    <mergeCell ref="J19:O19"/>
    <mergeCell ref="J20:O20"/>
    <mergeCell ref="J21:O21"/>
    <mergeCell ref="S5:U5"/>
    <mergeCell ref="S6:U29"/>
    <mergeCell ref="J22:O22"/>
    <mergeCell ref="J16:O16"/>
    <mergeCell ref="J10:O10"/>
    <mergeCell ref="J11:O11"/>
    <mergeCell ref="J12:O12"/>
    <mergeCell ref="J13:O13"/>
    <mergeCell ref="J14:O14"/>
    <mergeCell ref="J15:O15"/>
    <mergeCell ref="J17:O17"/>
    <mergeCell ref="J18:O18"/>
    <mergeCell ref="J4:O4"/>
    <mergeCell ref="J6:O6"/>
    <mergeCell ref="J7:O7"/>
    <mergeCell ref="J8:O8"/>
    <mergeCell ref="J9:O9"/>
    <mergeCell ref="J5:O5"/>
  </mergeCells>
  <phoneticPr fontId="2"/>
  <conditionalFormatting sqref="S2">
    <cfRule type="expression" dxfId="1" priority="6">
      <formula>R2-C13&lt;0</formula>
    </cfRule>
  </conditionalFormatting>
  <conditionalFormatting sqref="T2">
    <cfRule type="expression" dxfId="0" priority="5">
      <formula>C14-R2&lt;0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2748-9D92-4154-91BE-8C8613DAD5EA}">
  <sheetPr>
    <pageSetUpPr fitToPage="1"/>
  </sheetPr>
  <dimension ref="A1:I45"/>
  <sheetViews>
    <sheetView showGridLines="0" view="pageBreakPreview" topLeftCell="A12" zoomScale="80" zoomScaleNormal="80" zoomScaleSheetLayoutView="80" workbookViewId="0">
      <selection activeCell="C13" sqref="C13"/>
    </sheetView>
  </sheetViews>
  <sheetFormatPr defaultRowHeight="18" x14ac:dyDescent="0.55000000000000004"/>
  <cols>
    <col min="1" max="1" width="11.08203125" customWidth="1"/>
    <col min="2" max="2" width="11.58203125" customWidth="1"/>
    <col min="3" max="3" width="13.58203125" customWidth="1"/>
    <col min="6" max="6" width="10.25" customWidth="1"/>
  </cols>
  <sheetData>
    <row r="1" spans="1:9" x14ac:dyDescent="0.55000000000000004">
      <c r="A1" s="48"/>
      <c r="B1" s="48"/>
      <c r="C1" s="48"/>
      <c r="D1" s="48"/>
      <c r="E1" s="48"/>
      <c r="F1" s="48"/>
      <c r="G1" s="48"/>
      <c r="H1" s="48"/>
      <c r="I1" s="48"/>
    </row>
    <row r="2" spans="1:9" ht="26.5" x14ac:dyDescent="0.55000000000000004">
      <c r="A2" s="11" t="str">
        <f>基本情報!$C$4&amp;"　"&amp;"御中"</f>
        <v>ぎょうせい　御中</v>
      </c>
    </row>
    <row r="3" spans="1:9" ht="19.149999999999999" customHeight="1" x14ac:dyDescent="0.55000000000000004">
      <c r="A3" s="4"/>
      <c r="D3" s="8" t="s">
        <v>25</v>
      </c>
      <c r="E3" s="8"/>
      <c r="F3" s="10" t="s">
        <v>18</v>
      </c>
      <c r="G3" s="50">
        <f>IF(基本情報!C7="","",基本情報!C7)</f>
        <v>44712</v>
      </c>
      <c r="H3" s="50"/>
      <c r="I3" s="50"/>
    </row>
    <row r="4" spans="1:9" ht="23.65" customHeight="1" x14ac:dyDescent="0.55000000000000004">
      <c r="F4" s="10" t="s">
        <v>26</v>
      </c>
      <c r="G4" s="49" t="s">
        <v>27</v>
      </c>
      <c r="H4" s="49"/>
      <c r="I4" s="49"/>
    </row>
    <row r="5" spans="1:9" x14ac:dyDescent="0.55000000000000004">
      <c r="A5" s="32" t="str">
        <f>"プロジェクト名："&amp;基本情報!$C$5</f>
        <v>プロジェクト名：新会計システム開発</v>
      </c>
      <c r="B5" s="5"/>
      <c r="C5" s="5"/>
      <c r="F5" s="10" t="s">
        <v>19</v>
      </c>
      <c r="G5" s="45" t="str">
        <f>基本情報!C8</f>
        <v>上藤　千佳</v>
      </c>
      <c r="H5" s="46"/>
      <c r="I5" s="47"/>
    </row>
    <row r="6" spans="1:9" ht="18.5" thickBot="1" x14ac:dyDescent="0.6">
      <c r="F6" s="1" t="s">
        <v>28</v>
      </c>
      <c r="G6" s="45" t="str">
        <f>基本情報!$C$10</f>
        <v>井上　博勝</v>
      </c>
      <c r="H6" s="46"/>
      <c r="I6" s="47"/>
    </row>
    <row r="7" spans="1:9" ht="18.5" thickBot="1" x14ac:dyDescent="0.6">
      <c r="A7" s="15" t="s">
        <v>29</v>
      </c>
      <c r="B7" s="14">
        <f>SUM(C12:C42)</f>
        <v>5.4166666666666652</v>
      </c>
      <c r="I7" s="9"/>
    </row>
    <row r="8" spans="1:9" ht="18.5" thickBot="1" x14ac:dyDescent="0.6">
      <c r="A8" s="15" t="s">
        <v>0</v>
      </c>
      <c r="B8" s="16">
        <f>COUNT(C12:C42)</f>
        <v>16</v>
      </c>
    </row>
    <row r="9" spans="1:9" ht="18.5" thickBot="1" x14ac:dyDescent="0.6">
      <c r="A9" s="13" t="s">
        <v>30</v>
      </c>
      <c r="B9" s="14"/>
    </row>
    <row r="11" spans="1:9" x14ac:dyDescent="0.55000000000000004">
      <c r="A11" s="17" t="s">
        <v>7</v>
      </c>
      <c r="B11" s="17" t="s">
        <v>8</v>
      </c>
      <c r="C11" s="17" t="s">
        <v>29</v>
      </c>
      <c r="D11" s="45" t="s">
        <v>12</v>
      </c>
      <c r="E11" s="46"/>
      <c r="F11" s="46"/>
      <c r="G11" s="46"/>
      <c r="H11" s="46"/>
      <c r="I11" s="47"/>
    </row>
    <row r="12" spans="1:9" x14ac:dyDescent="0.55000000000000004">
      <c r="A12" s="7">
        <f>IF(基本情報!E5="","",基本情報!E5)</f>
        <v>44712</v>
      </c>
      <c r="B12" s="31">
        <f>IF(基本情報!F5="","",基本情報!F5)</f>
        <v>44712</v>
      </c>
      <c r="C12" s="18" t="str">
        <f>IF(基本情報!G5="","",基本情報!H5-基本情報!G5-基本情報!I5)</f>
        <v/>
      </c>
      <c r="D12" s="44" t="str">
        <f>IF(基本情報!J5="","",基本情報!J5)</f>
        <v/>
      </c>
      <c r="E12" s="44"/>
      <c r="F12" s="44"/>
      <c r="G12" s="44"/>
      <c r="H12" s="44"/>
      <c r="I12" s="44"/>
    </row>
    <row r="13" spans="1:9" x14ac:dyDescent="0.55000000000000004">
      <c r="A13" s="7">
        <f>IF(基本情報!E6="","",基本情報!E6)</f>
        <v>44713</v>
      </c>
      <c r="B13" s="31">
        <f>IF(基本情報!F6="","",基本情報!F6)</f>
        <v>44713</v>
      </c>
      <c r="C13" s="18" t="str">
        <f>IF(基本情報!G6="","",基本情報!H6-基本情報!G6-基本情報!I6)</f>
        <v/>
      </c>
      <c r="D13" s="44" t="str">
        <f>IF(基本情報!J6="","",基本情報!J6)</f>
        <v/>
      </c>
      <c r="E13" s="44"/>
      <c r="F13" s="44"/>
      <c r="G13" s="44"/>
      <c r="H13" s="44"/>
      <c r="I13" s="44"/>
    </row>
    <row r="14" spans="1:9" x14ac:dyDescent="0.55000000000000004">
      <c r="A14" s="7">
        <f>IF(基本情報!E7="","",基本情報!E7)</f>
        <v>44714</v>
      </c>
      <c r="B14" s="31">
        <f>IF(基本情報!F7="","",基本情報!F7)</f>
        <v>44714</v>
      </c>
      <c r="C14" s="18" t="str">
        <f>IF(基本情報!G7="","",基本情報!H7-基本情報!G7-基本情報!I7)</f>
        <v/>
      </c>
      <c r="D14" s="44" t="str">
        <f>IF(基本情報!J7="","",基本情報!J7)</f>
        <v/>
      </c>
      <c r="E14" s="44"/>
      <c r="F14" s="44"/>
      <c r="G14" s="44"/>
      <c r="H14" s="44"/>
      <c r="I14" s="44"/>
    </row>
    <row r="15" spans="1:9" x14ac:dyDescent="0.55000000000000004">
      <c r="A15" s="7">
        <f>IF(基本情報!E8="","",基本情報!E8)</f>
        <v>44715</v>
      </c>
      <c r="B15" s="31">
        <f>IF(基本情報!F8="","",基本情報!F8)</f>
        <v>44715</v>
      </c>
      <c r="C15" s="18" t="str">
        <f>IF(基本情報!G8="","",基本情報!H8-基本情報!G8-基本情報!I8)</f>
        <v/>
      </c>
      <c r="D15" s="44" t="str">
        <f>IF(基本情報!J8="","",基本情報!J8)</f>
        <v/>
      </c>
      <c r="E15" s="44"/>
      <c r="F15" s="44"/>
      <c r="G15" s="44"/>
      <c r="H15" s="44"/>
      <c r="I15" s="44"/>
    </row>
    <row r="16" spans="1:9" x14ac:dyDescent="0.55000000000000004">
      <c r="A16" s="7">
        <f>IF(基本情報!E9="","",基本情報!E9)</f>
        <v>44716</v>
      </c>
      <c r="B16" s="31">
        <f>IF(基本情報!F9="","",基本情報!F9)</f>
        <v>44716</v>
      </c>
      <c r="C16" s="18" t="str">
        <f>IF(基本情報!G9="","",基本情報!H9-基本情報!G9-基本情報!I9)</f>
        <v/>
      </c>
      <c r="D16" s="44" t="str">
        <f>IF(基本情報!J9="","",基本情報!J9)</f>
        <v/>
      </c>
      <c r="E16" s="44"/>
      <c r="F16" s="44"/>
      <c r="G16" s="44"/>
      <c r="H16" s="44"/>
      <c r="I16" s="44"/>
    </row>
    <row r="17" spans="1:9" x14ac:dyDescent="0.55000000000000004">
      <c r="A17" s="7">
        <f>IF(基本情報!E10="","",基本情報!E10)</f>
        <v>44717</v>
      </c>
      <c r="B17" s="31">
        <f>IF(基本情報!F10="","",基本情報!F10)</f>
        <v>44717</v>
      </c>
      <c r="C17" s="18" t="str">
        <f>IF(基本情報!G10="","",基本情報!H10-基本情報!G10-基本情報!I10)</f>
        <v/>
      </c>
      <c r="D17" s="44" t="str">
        <f>IF(基本情報!J10="","",基本情報!J10)</f>
        <v/>
      </c>
      <c r="E17" s="44"/>
      <c r="F17" s="44"/>
      <c r="G17" s="44"/>
      <c r="H17" s="44"/>
      <c r="I17" s="44"/>
    </row>
    <row r="18" spans="1:9" x14ac:dyDescent="0.55000000000000004">
      <c r="A18" s="7">
        <f>IF(基本情報!E11="","",基本情報!E11)</f>
        <v>44718</v>
      </c>
      <c r="B18" s="31">
        <f>IF(基本情報!F11="","",基本情報!F11)</f>
        <v>44718</v>
      </c>
      <c r="C18" s="18" t="str">
        <f>IF(基本情報!G11="","",基本情報!H11-基本情報!G11-基本情報!I11)</f>
        <v/>
      </c>
      <c r="D18" s="44" t="str">
        <f>IF(基本情報!J11="","",基本情報!J11)</f>
        <v/>
      </c>
      <c r="E18" s="44"/>
      <c r="F18" s="44"/>
      <c r="G18" s="44"/>
      <c r="H18" s="44"/>
      <c r="I18" s="44"/>
    </row>
    <row r="19" spans="1:9" x14ac:dyDescent="0.55000000000000004">
      <c r="A19" s="7">
        <f>IF(基本情報!E12="","",基本情報!E12)</f>
        <v>44719</v>
      </c>
      <c r="B19" s="31">
        <f>IF(基本情報!F12="","",基本情報!F12)</f>
        <v>44719</v>
      </c>
      <c r="C19" s="18" t="str">
        <f>IF(基本情報!G12="","",基本情報!H12-基本情報!G12-基本情報!I12)</f>
        <v/>
      </c>
      <c r="D19" s="44" t="str">
        <f>IF(基本情報!J12="","",基本情報!J12)</f>
        <v/>
      </c>
      <c r="E19" s="44"/>
      <c r="F19" s="44"/>
      <c r="G19" s="44"/>
      <c r="H19" s="44"/>
      <c r="I19" s="44"/>
    </row>
    <row r="20" spans="1:9" x14ac:dyDescent="0.55000000000000004">
      <c r="A20" s="7">
        <f>IF(基本情報!E13="","",基本情報!E13)</f>
        <v>44720</v>
      </c>
      <c r="B20" s="31">
        <f>IF(基本情報!F13="","",基本情報!F13)</f>
        <v>44720</v>
      </c>
      <c r="C20" s="18">
        <f>IF(基本情報!G13="","",基本情報!H13-基本情報!G13-基本情報!I13)</f>
        <v>0.31249999999999989</v>
      </c>
      <c r="D20" s="44" t="str">
        <f>IF(基本情報!J13="","",基本情報!J13)</f>
        <v>PCセットアップ</v>
      </c>
      <c r="E20" s="44"/>
      <c r="F20" s="44"/>
      <c r="G20" s="44"/>
      <c r="H20" s="44"/>
      <c r="I20" s="44"/>
    </row>
    <row r="21" spans="1:9" x14ac:dyDescent="0.55000000000000004">
      <c r="A21" s="7">
        <f>IF(基本情報!E14="","",基本情報!E14)</f>
        <v>44721</v>
      </c>
      <c r="B21" s="31">
        <f>IF(基本情報!F14="","",基本情報!F14)</f>
        <v>44721</v>
      </c>
      <c r="C21" s="18">
        <f>IF(基本情報!G14="","",基本情報!H14-基本情報!G14-基本情報!I14)</f>
        <v>0.31249999999999989</v>
      </c>
      <c r="D21" s="44" t="str">
        <f>IF(基本情報!J14="","",基本情報!J14)</f>
        <v>業務説明</v>
      </c>
      <c r="E21" s="44"/>
      <c r="F21" s="44"/>
      <c r="G21" s="44"/>
      <c r="H21" s="44"/>
      <c r="I21" s="44"/>
    </row>
    <row r="22" spans="1:9" x14ac:dyDescent="0.55000000000000004">
      <c r="A22" s="7">
        <f>IF(基本情報!E15="","",基本情報!E15)</f>
        <v>44722</v>
      </c>
      <c r="B22" s="31">
        <f>IF(基本情報!F15="","",基本情報!F15)</f>
        <v>44722</v>
      </c>
      <c r="C22" s="18">
        <f>IF(基本情報!G15="","",基本情報!H15-基本情報!G15-基本情報!I15)</f>
        <v>0.31249999999999989</v>
      </c>
      <c r="D22" s="44" t="str">
        <f>IF(基本情報!J15="","",基本情報!J15)</f>
        <v>帳票説明会（新木場）</v>
      </c>
      <c r="E22" s="44"/>
      <c r="F22" s="44"/>
      <c r="G22" s="44"/>
      <c r="H22" s="44"/>
      <c r="I22" s="44"/>
    </row>
    <row r="23" spans="1:9" x14ac:dyDescent="0.55000000000000004">
      <c r="A23" s="7">
        <f>IF(基本情報!E16="","",基本情報!E16)</f>
        <v>44723</v>
      </c>
      <c r="B23" s="31">
        <f>IF(基本情報!F16="","",基本情報!F16)</f>
        <v>44723</v>
      </c>
      <c r="C23" s="18">
        <f>IF(基本情報!G16="","",基本情報!H16-基本情報!G16-基本情報!I16)</f>
        <v>0.31249999999999989</v>
      </c>
      <c r="D23" s="44" t="str">
        <f>IF(基本情報!J16="","",基本情報!J16)</f>
        <v>帳票スケジュール表入力作業</v>
      </c>
      <c r="E23" s="44"/>
      <c r="F23" s="44"/>
      <c r="G23" s="44"/>
      <c r="H23" s="44"/>
      <c r="I23" s="44"/>
    </row>
    <row r="24" spans="1:9" x14ac:dyDescent="0.55000000000000004">
      <c r="A24" s="7">
        <f>IF(基本情報!E17="","",基本情報!E17)</f>
        <v>44724</v>
      </c>
      <c r="B24" s="31">
        <f>IF(基本情報!F17="","",基本情報!F17)</f>
        <v>44724</v>
      </c>
      <c r="C24" s="18" t="str">
        <f>IF(基本情報!G17="","",基本情報!H17-基本情報!G17-基本情報!I17)</f>
        <v/>
      </c>
      <c r="D24" s="44" t="str">
        <f>IF(基本情報!J17="","",基本情報!J17)</f>
        <v/>
      </c>
      <c r="E24" s="44"/>
      <c r="F24" s="44"/>
      <c r="G24" s="44"/>
      <c r="H24" s="44"/>
      <c r="I24" s="44"/>
    </row>
    <row r="25" spans="1:9" x14ac:dyDescent="0.55000000000000004">
      <c r="A25" s="7">
        <f>IF(基本情報!E18="","",基本情報!E18)</f>
        <v>44725</v>
      </c>
      <c r="B25" s="31">
        <f>IF(基本情報!F18="","",基本情報!F18)</f>
        <v>44725</v>
      </c>
      <c r="C25" s="18" t="str">
        <f>IF(基本情報!G18="","",基本情報!H18-基本情報!G18-基本情報!I18)</f>
        <v/>
      </c>
      <c r="D25" s="44" t="str">
        <f>IF(基本情報!J18="","",基本情報!J18)</f>
        <v/>
      </c>
      <c r="E25" s="44"/>
      <c r="F25" s="44"/>
      <c r="G25" s="44"/>
      <c r="H25" s="44"/>
      <c r="I25" s="44"/>
    </row>
    <row r="26" spans="1:9" x14ac:dyDescent="0.55000000000000004">
      <c r="A26" s="7">
        <f>IF(基本情報!E19="","",基本情報!E19)</f>
        <v>44726</v>
      </c>
      <c r="B26" s="31">
        <f>IF(基本情報!F19="","",基本情報!F19)</f>
        <v>44726</v>
      </c>
      <c r="C26" s="18">
        <f>IF(基本情報!G19="","",基本情報!H19-基本情報!G19-基本情報!I19)</f>
        <v>0.31249999999999989</v>
      </c>
      <c r="D26" s="44" t="str">
        <f>IF(基本情報!J19="","",基本情報!J19)</f>
        <v>帳票スケジュール表入力作業</v>
      </c>
      <c r="E26" s="44"/>
      <c r="F26" s="44"/>
      <c r="G26" s="44"/>
      <c r="H26" s="44"/>
      <c r="I26" s="44"/>
    </row>
    <row r="27" spans="1:9" x14ac:dyDescent="0.55000000000000004">
      <c r="A27" s="7">
        <f>IF(基本情報!E20="","",基本情報!E20)</f>
        <v>44727</v>
      </c>
      <c r="B27" s="31">
        <f>IF(基本情報!F20="","",基本情報!F20)</f>
        <v>44727</v>
      </c>
      <c r="C27" s="18">
        <f>IF(基本情報!G20="","",基本情報!H20-基本情報!G20-基本情報!I20)</f>
        <v>0.35416666666666652</v>
      </c>
      <c r="D27" s="44" t="str">
        <f>IF(基本情報!J20="","",基本情報!J20)</f>
        <v>帳票設計書作成</v>
      </c>
      <c r="E27" s="44"/>
      <c r="F27" s="44"/>
      <c r="G27" s="44"/>
      <c r="H27" s="44"/>
      <c r="I27" s="44"/>
    </row>
    <row r="28" spans="1:9" x14ac:dyDescent="0.55000000000000004">
      <c r="A28" s="7">
        <f>IF(基本情報!E21="","",基本情報!E21)</f>
        <v>44728</v>
      </c>
      <c r="B28" s="31">
        <f>IF(基本情報!F21="","",基本情報!F21)</f>
        <v>44728</v>
      </c>
      <c r="C28" s="18">
        <f>IF(基本情報!G21="","",基本情報!H21-基本情報!G21-基本情報!I21)</f>
        <v>0.35416666666666652</v>
      </c>
      <c r="D28" s="44" t="str">
        <f>IF(基本情報!J21="","",基本情報!J21)</f>
        <v>帳票設計書作成</v>
      </c>
      <c r="E28" s="44"/>
      <c r="F28" s="44"/>
      <c r="G28" s="44"/>
      <c r="H28" s="44"/>
      <c r="I28" s="44"/>
    </row>
    <row r="29" spans="1:9" x14ac:dyDescent="0.55000000000000004">
      <c r="A29" s="7">
        <f>IF(基本情報!E22="","",基本情報!E22)</f>
        <v>44729</v>
      </c>
      <c r="B29" s="31">
        <f>IF(基本情報!F22="","",基本情報!F22)</f>
        <v>44729</v>
      </c>
      <c r="C29" s="18">
        <f>IF(基本情報!G22="","",基本情報!H22-基本情報!G22-基本情報!I22)</f>
        <v>0.36458333333333326</v>
      </c>
      <c r="D29" s="44" t="str">
        <f>IF(基本情報!J22="","",基本情報!J22)</f>
        <v>帳票説明会（新木場）</v>
      </c>
      <c r="E29" s="44"/>
      <c r="F29" s="44"/>
      <c r="G29" s="44"/>
      <c r="H29" s="44"/>
      <c r="I29" s="44"/>
    </row>
    <row r="30" spans="1:9" x14ac:dyDescent="0.55000000000000004">
      <c r="A30" s="7">
        <f>IF(基本情報!E23="","",基本情報!E23)</f>
        <v>44730</v>
      </c>
      <c r="B30" s="31">
        <f>IF(基本情報!F23="","",基本情報!F23)</f>
        <v>44730</v>
      </c>
      <c r="C30" s="18">
        <f>IF(基本情報!G23="","",基本情報!H23-基本情報!G23-基本情報!I23)</f>
        <v>0.35416666666666652</v>
      </c>
      <c r="D30" s="44" t="str">
        <f>IF(基本情報!J23="","",基本情報!J23)</f>
        <v>帳票設計書作成</v>
      </c>
      <c r="E30" s="44"/>
      <c r="F30" s="44"/>
      <c r="G30" s="44"/>
      <c r="H30" s="44"/>
      <c r="I30" s="44"/>
    </row>
    <row r="31" spans="1:9" x14ac:dyDescent="0.55000000000000004">
      <c r="A31" s="7">
        <f>IF(基本情報!E24="","",基本情報!E24)</f>
        <v>44731</v>
      </c>
      <c r="B31" s="31">
        <f>IF(基本情報!F24="","",基本情報!F24)</f>
        <v>44731</v>
      </c>
      <c r="C31" s="18" t="str">
        <f>IF(基本情報!G24="","",基本情報!H24-基本情報!G24-基本情報!I24)</f>
        <v/>
      </c>
      <c r="D31" s="44" t="str">
        <f>IF(基本情報!J24="","",基本情報!J24)</f>
        <v/>
      </c>
      <c r="E31" s="44"/>
      <c r="F31" s="44"/>
      <c r="G31" s="44"/>
      <c r="H31" s="44"/>
      <c r="I31" s="44"/>
    </row>
    <row r="32" spans="1:9" x14ac:dyDescent="0.55000000000000004">
      <c r="A32" s="7">
        <f>IF(基本情報!E25="","",基本情報!E25)</f>
        <v>44732</v>
      </c>
      <c r="B32" s="31">
        <f>IF(基本情報!F25="","",基本情報!F25)</f>
        <v>44732</v>
      </c>
      <c r="C32" s="18" t="str">
        <f>IF(基本情報!G25="","",基本情報!H25-基本情報!G25-基本情報!I25)</f>
        <v/>
      </c>
      <c r="D32" s="44" t="str">
        <f>IF(基本情報!J25="","",基本情報!J25)</f>
        <v/>
      </c>
      <c r="E32" s="44"/>
      <c r="F32" s="44"/>
      <c r="G32" s="44"/>
      <c r="H32" s="44"/>
      <c r="I32" s="44"/>
    </row>
    <row r="33" spans="1:9" x14ac:dyDescent="0.55000000000000004">
      <c r="A33" s="7">
        <f>IF(基本情報!E26="","",基本情報!E26)</f>
        <v>44733</v>
      </c>
      <c r="B33" s="31">
        <f>IF(基本情報!F26="","",基本情報!F26)</f>
        <v>44733</v>
      </c>
      <c r="C33" s="18">
        <f>IF(基本情報!G26="","",基本情報!H26-基本情報!G26-基本情報!I26)</f>
        <v>0.35416666666666652</v>
      </c>
      <c r="D33" s="44" t="str">
        <f>IF(基本情報!J26="","",基本情報!J26)</f>
        <v>帳票設計書作成</v>
      </c>
      <c r="E33" s="44"/>
      <c r="F33" s="44"/>
      <c r="G33" s="44"/>
      <c r="H33" s="44"/>
      <c r="I33" s="44"/>
    </row>
    <row r="34" spans="1:9" x14ac:dyDescent="0.55000000000000004">
      <c r="A34" s="7">
        <f>IF(基本情報!E27="","",基本情報!E27)</f>
        <v>44734</v>
      </c>
      <c r="B34" s="31">
        <f>IF(基本情報!F27="","",基本情報!F27)</f>
        <v>44734</v>
      </c>
      <c r="C34" s="18">
        <f>IF(基本情報!G27="","",基本情報!H27-基本情報!G27-基本情報!I27)</f>
        <v>0.35416666666666652</v>
      </c>
      <c r="D34" s="51" t="str">
        <f>IF(基本情報!J27="","",基本情報!J27)</f>
        <v>帳票設計書作成</v>
      </c>
      <c r="E34" s="52"/>
      <c r="F34" s="52"/>
      <c r="G34" s="52"/>
      <c r="H34" s="52"/>
      <c r="I34" s="53"/>
    </row>
    <row r="35" spans="1:9" x14ac:dyDescent="0.55000000000000004">
      <c r="A35" s="7">
        <f>IF(基本情報!E28="","",基本情報!E28)</f>
        <v>44735</v>
      </c>
      <c r="B35" s="31">
        <f>IF(基本情報!F28="","",基本情報!F28)</f>
        <v>44735</v>
      </c>
      <c r="C35" s="18">
        <f>IF(基本情報!G28="","",基本情報!H28-基本情報!G28-基本情報!I28)</f>
        <v>0.36458333333333326</v>
      </c>
      <c r="D35" s="44" t="str">
        <f>IF(基本情報!J28="","",基本情報!J28)</f>
        <v>帳票設計書作成</v>
      </c>
      <c r="E35" s="44"/>
      <c r="F35" s="44"/>
      <c r="G35" s="44"/>
      <c r="H35" s="44"/>
      <c r="I35" s="44"/>
    </row>
    <row r="36" spans="1:9" x14ac:dyDescent="0.55000000000000004">
      <c r="A36" s="7">
        <f>IF(基本情報!E29="","",基本情報!E29)</f>
        <v>44736</v>
      </c>
      <c r="B36" s="31">
        <f>IF(基本情報!F29="","",基本情報!F29)</f>
        <v>44736</v>
      </c>
      <c r="C36" s="18">
        <f>IF(基本情報!G29="","",基本情報!H29-基本情報!G29-基本情報!I29)</f>
        <v>0.39583333333333326</v>
      </c>
      <c r="D36" s="44" t="str">
        <f>IF(基本情報!J29="","",基本情報!J29)</f>
        <v>帳票説明会（新木場）</v>
      </c>
      <c r="E36" s="44"/>
      <c r="F36" s="44"/>
      <c r="G36" s="44"/>
      <c r="H36" s="44"/>
      <c r="I36" s="44"/>
    </row>
    <row r="37" spans="1:9" x14ac:dyDescent="0.55000000000000004">
      <c r="A37" s="7">
        <f>IF(基本情報!E30="","",基本情報!E30)</f>
        <v>44737</v>
      </c>
      <c r="B37" s="31">
        <f>IF(基本情報!F30="","",基本情報!F30)</f>
        <v>44737</v>
      </c>
      <c r="C37" s="18">
        <f>IF(基本情報!G30="","",基本情報!H30-基本情報!G30-基本情報!I30)</f>
        <v>0.31249999999999989</v>
      </c>
      <c r="D37" s="44" t="str">
        <f>IF(基本情報!J30="","",基本情報!J30)</f>
        <v>帳票設計書作成</v>
      </c>
      <c r="E37" s="44"/>
      <c r="F37" s="44"/>
      <c r="G37" s="44"/>
      <c r="H37" s="44"/>
      <c r="I37" s="44"/>
    </row>
    <row r="38" spans="1:9" x14ac:dyDescent="0.55000000000000004">
      <c r="A38" s="7">
        <f>IF(基本情報!E31="","",基本情報!E31)</f>
        <v>44738</v>
      </c>
      <c r="B38" s="31">
        <f>IF(基本情報!F31="","",基本情報!F31)</f>
        <v>44738</v>
      </c>
      <c r="C38" s="18" t="str">
        <f>IF(基本情報!G31="","",基本情報!H31-基本情報!G31-基本情報!I31)</f>
        <v/>
      </c>
      <c r="D38" s="44" t="str">
        <f>IF(基本情報!J31="","",基本情報!J31)</f>
        <v/>
      </c>
      <c r="E38" s="44"/>
      <c r="F38" s="44"/>
      <c r="G38" s="44"/>
      <c r="H38" s="44"/>
      <c r="I38" s="44"/>
    </row>
    <row r="39" spans="1:9" x14ac:dyDescent="0.55000000000000004">
      <c r="A39" s="7">
        <f>IF(基本情報!E32="","",基本情報!E32)</f>
        <v>44739</v>
      </c>
      <c r="B39" s="31">
        <f>IF(基本情報!F32="","",基本情報!F32)</f>
        <v>44739</v>
      </c>
      <c r="C39" s="18" t="str">
        <f>IF(基本情報!G32="","",基本情報!H32-基本情報!G32-基本情報!I32)</f>
        <v/>
      </c>
      <c r="D39" s="44" t="str">
        <f>IF(基本情報!J32="","",基本情報!J32)</f>
        <v/>
      </c>
      <c r="E39" s="44"/>
      <c r="F39" s="44"/>
      <c r="G39" s="44"/>
      <c r="H39" s="44"/>
      <c r="I39" s="44"/>
    </row>
    <row r="40" spans="1:9" x14ac:dyDescent="0.55000000000000004">
      <c r="A40" s="7">
        <f>IF(基本情報!E33="","",基本情報!E33)</f>
        <v>44740</v>
      </c>
      <c r="B40" s="31">
        <f>IF(基本情報!F33="","",基本情報!F33)</f>
        <v>44740</v>
      </c>
      <c r="C40" s="18">
        <f>IF(基本情報!G33="","",基本情報!H33-基本情報!G33-基本情報!I33)</f>
        <v>0.33333333333333326</v>
      </c>
      <c r="D40" s="44" t="str">
        <f>IF(基本情報!J33="","",基本情報!J33)</f>
        <v>帳票設計書作成</v>
      </c>
      <c r="E40" s="44"/>
      <c r="F40" s="44"/>
      <c r="G40" s="44"/>
      <c r="H40" s="44"/>
      <c r="I40" s="44"/>
    </row>
    <row r="41" spans="1:9" x14ac:dyDescent="0.55000000000000004">
      <c r="A41" s="7">
        <f>IF(基本情報!E34="","",基本情報!E34)</f>
        <v>44741</v>
      </c>
      <c r="B41" s="31">
        <f>IF(基本情報!F34="","",基本情報!F34)</f>
        <v>44741</v>
      </c>
      <c r="C41" s="18">
        <f>IF(基本情報!G34="","",基本情報!H34-基本情報!G34-基本情報!I34)</f>
        <v>0.31249999999999989</v>
      </c>
      <c r="D41" s="44" t="str">
        <f>IF(基本情報!J34="","",基本情報!J34)</f>
        <v>帳票設計書作成</v>
      </c>
      <c r="E41" s="44"/>
      <c r="F41" s="44"/>
      <c r="G41" s="44"/>
      <c r="H41" s="44"/>
      <c r="I41" s="44"/>
    </row>
    <row r="42" spans="1:9" x14ac:dyDescent="0.55000000000000004">
      <c r="A42" s="7" t="str">
        <f>IF(基本情報!E35="","",基本情報!E35)</f>
        <v/>
      </c>
      <c r="B42" s="31" t="str">
        <f>IF(基本情報!F35="","",基本情報!F35)</f>
        <v/>
      </c>
      <c r="C42" s="18" t="str">
        <f>IF(基本情報!G35="","",基本情報!H35-基本情報!G35-基本情報!I35)</f>
        <v/>
      </c>
      <c r="D42" s="44" t="str">
        <f>IF(基本情報!J35="","",基本情報!J35)</f>
        <v/>
      </c>
      <c r="E42" s="44"/>
      <c r="F42" s="44"/>
      <c r="G42" s="44"/>
      <c r="H42" s="44"/>
      <c r="I42" s="44"/>
    </row>
    <row r="43" spans="1:9" x14ac:dyDescent="0.55000000000000004">
      <c r="C43" s="6"/>
    </row>
    <row r="44" spans="1:9" x14ac:dyDescent="0.55000000000000004">
      <c r="C44" s="6"/>
    </row>
    <row r="45" spans="1:9" x14ac:dyDescent="0.55000000000000004">
      <c r="C45" s="6"/>
    </row>
  </sheetData>
  <mergeCells count="37">
    <mergeCell ref="D40:I40"/>
    <mergeCell ref="D42:I42"/>
    <mergeCell ref="D41:I41"/>
    <mergeCell ref="D33:I33"/>
    <mergeCell ref="D34:I34"/>
    <mergeCell ref="D35:I35"/>
    <mergeCell ref="D36:I36"/>
    <mergeCell ref="D31:I31"/>
    <mergeCell ref="D32:I32"/>
    <mergeCell ref="D37:I37"/>
    <mergeCell ref="D38:I38"/>
    <mergeCell ref="D39:I39"/>
    <mergeCell ref="D28:I28"/>
    <mergeCell ref="D29:I29"/>
    <mergeCell ref="D11:I11"/>
    <mergeCell ref="A1:I1"/>
    <mergeCell ref="G4:I4"/>
    <mergeCell ref="G3:I3"/>
    <mergeCell ref="D12:I12"/>
    <mergeCell ref="G5:I5"/>
    <mergeCell ref="G6:I6"/>
    <mergeCell ref="D30:I30"/>
    <mergeCell ref="D24:I24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5:I25"/>
    <mergeCell ref="D26:I26"/>
    <mergeCell ref="D27:I27"/>
  </mergeCells>
  <phoneticPr fontId="2"/>
  <pageMargins left="0.7" right="0.7" top="0.75" bottom="0.75" header="0.3" footer="0.3"/>
  <pageSetup paperSize="9" scale="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090fee-f2c8-4fd4-b261-f5669061356b" xsi:nil="true"/>
    <TaxCatchAll xmlns="ea9e5f51-51ae-464f-9953-888cba40cbc6" xsi:nil="true"/>
    <lcf76f155ced4ddcb4097134ff3c332f xmlns="3d090fee-f2c8-4fd4-b261-f566906135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C44B0CA66CBFB41A51CE5638C03E317" ma:contentTypeVersion="20" ma:contentTypeDescription="新しいドキュメントを作成します。" ma:contentTypeScope="" ma:versionID="8c7bba5f3dce14042085a4dc9dbdc1e7">
  <xsd:schema xmlns:xsd="http://www.w3.org/2001/XMLSchema" xmlns:xs="http://www.w3.org/2001/XMLSchema" xmlns:p="http://schemas.microsoft.com/office/2006/metadata/properties" xmlns:ns2="d3c580a3-2619-44e9-b305-fbad75d74913" xmlns:ns3="ea9e5f51-51ae-464f-9953-888cba40cbc6" xmlns:ns4="3d090fee-f2c8-4fd4-b261-f5669061356b" targetNamespace="http://schemas.microsoft.com/office/2006/metadata/properties" ma:root="true" ma:fieldsID="91f21b2a88cfffc31c8d6c3e020533c6" ns2:_="" ns3:_="" ns4:_="">
    <xsd:import namespace="d3c580a3-2619-44e9-b305-fbad75d74913"/>
    <xsd:import namespace="ea9e5f51-51ae-464f-9953-888cba40cbc6"/>
    <xsd:import namespace="3d090fee-f2c8-4fd4-b261-f566906135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_Flow_SignoffStatus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580a3-2619-44e9-b305-fbad75d749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共有のヒントのハッシュ" ma:internalName="SharingHintHash" ma:readOnly="true">
      <xsd:simpleType>
        <xsd:restriction base="dms:Text"/>
      </xsd:simple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5f51-51ae-464f-9953-888cba40cbc6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最新の共有 (ユーザー別)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最新の共有 (時間別)" ma:description="" ma:internalName="LastSharedByTime" ma:readOnly="true">
      <xsd:simpleType>
        <xsd:restriction base="dms:DateTime"/>
      </xsd:simpleType>
    </xsd:element>
    <xsd:element name="TaxCatchAll" ma:index="27" nillable="true" ma:displayName="Taxonomy Catch All Column" ma:hidden="true" ma:list="{2e40b634-0661-4c6d-a256-ea360ac7cff0}" ma:internalName="TaxCatchAll" ma:showField="CatchAllData" ma:web="ea9e5f51-51ae-464f-9953-888cba40cb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0fee-f2c8-4fd4-b261-f56690613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21" nillable="true" ma:displayName="承認の状態" ma:internalName="_x627f__x8a8d__x306e__x72b6__x614b_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画像タグ" ma:readOnly="false" ma:fieldId="{5cf76f15-5ced-4ddc-b409-7134ff3c332f}" ma:taxonomyMulti="true" ma:sspId="2872696f-d995-48ee-94ab-d648afa4d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EBF9C-0B76-4BE6-9A38-36728E47BE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9EC2EA-6762-4F8D-905B-2E8C8D36619E}">
  <ds:schemaRefs>
    <ds:schemaRef ds:uri="http://schemas.microsoft.com/office/2006/metadata/properties"/>
    <ds:schemaRef ds:uri="http://schemas.microsoft.com/office/infopath/2007/PartnerControls"/>
    <ds:schemaRef ds:uri="3d090fee-f2c8-4fd4-b261-f5669061356b"/>
    <ds:schemaRef ds:uri="ea9e5f51-51ae-464f-9953-888cba40cbc6"/>
  </ds:schemaRefs>
</ds:datastoreItem>
</file>

<file path=customXml/itemProps3.xml><?xml version="1.0" encoding="utf-8"?>
<ds:datastoreItem xmlns:ds="http://schemas.openxmlformats.org/officeDocument/2006/customXml" ds:itemID="{E617E838-CF21-4217-8CF9-604A844C83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580a3-2619-44e9-b305-fbad75d74913"/>
    <ds:schemaRef ds:uri="ea9e5f51-51ae-464f-9953-888cba40cbc6"/>
    <ds:schemaRef ds:uri="3d090fee-f2c8-4fd4-b261-f56690613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基本情報</vt:lpstr>
      <vt:lpstr>報告書</vt:lpstr>
      <vt:lpstr>報告書!Print_Area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Takuma.Masuguchi</dc:creator>
  <cp:keywords/>
  <dc:description/>
  <cp:lastModifiedBy>上藤 千佳</cp:lastModifiedBy>
  <cp:revision/>
  <dcterms:created xsi:type="dcterms:W3CDTF">2020-08-26T03:27:56Z</dcterms:created>
  <dcterms:modified xsi:type="dcterms:W3CDTF">2026-07-01T00:03:38Z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0x010100CC44B0CA66CBFB41A51CE5638C03E317</vt:lpwstr>
  </property>
  <property fmtid="{D5CDD505-2E9C-101B-9397-08002B2CF9AE}" pid="3" name="MediaServiceImageTags">
    <vt:lpwstr/>
  </property>
</Properties>
</file>